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A" sheetId="1" r:id="rId5"/>
    <sheet state="visible" name="CONTROL" sheetId="2" r:id="rId6"/>
    <sheet state="visible" name="VISTA" sheetId="3" r:id="rId7"/>
    <sheet state="hidden" name="RESTAURANTE" sheetId="4" r:id="rId8"/>
    <sheet state="hidden" name="WEB" sheetId="5" r:id="rId9"/>
    <sheet state="hidden" name="DELIVERY" sheetId="6" r:id="rId10"/>
    <sheet state="visible" name="SUGERENCIAS" sheetId="7" r:id="rId11"/>
    <sheet state="visible" name="ALERGENOS" sheetId="8" r:id="rId12"/>
    <sheet state="visible" name="NOTAS" sheetId="9" r:id="rId13"/>
  </sheets>
  <definedNames/>
  <calcPr/>
</workbook>
</file>

<file path=xl/sharedStrings.xml><?xml version="1.0" encoding="utf-8"?>
<sst xmlns="http://schemas.openxmlformats.org/spreadsheetml/2006/main" count="1738" uniqueCount="709">
  <si>
    <t>ID</t>
  </si>
  <si>
    <t>BELLA CIAO | PANEL DE CARTAS</t>
  </si>
  <si>
    <t>Orden</t>
  </si>
  <si>
    <t>Categoria</t>
  </si>
  <si>
    <t/>
  </si>
  <si>
    <t>Categoría</t>
  </si>
  <si>
    <t>Nombre_CAT</t>
  </si>
  <si>
    <t>GESTIÓN CORPORATIVA · SOLO SHEETS</t>
  </si>
  <si>
    <t>Producto</t>
  </si>
  <si>
    <t>Descripcion_CAT</t>
  </si>
  <si>
    <t>Nombre_ES</t>
  </si>
  <si>
    <t>Ingredientes / detalle</t>
  </si>
  <si>
    <t>Descripcion_ES</t>
  </si>
  <si>
    <t>Nombre_FR</t>
  </si>
  <si>
    <t>Precio (€)</t>
  </si>
  <si>
    <t>Descripcion_FR</t>
  </si>
  <si>
    <t>Imagen URL</t>
  </si>
  <si>
    <t>Nombre_EN</t>
  </si>
  <si>
    <t>Carta seleccionada</t>
  </si>
  <si>
    <t>Descripcion_EN</t>
  </si>
  <si>
    <t>Precio_restaurante_EUR</t>
  </si>
  <si>
    <t>Increment_delivery_EUR</t>
  </si>
  <si>
    <t>Precio_delivery_EUR</t>
  </si>
  <si>
    <t>Restaurante</t>
  </si>
  <si>
    <t>Web</t>
  </si>
  <si>
    <t>Delivery_TakeAway</t>
  </si>
  <si>
    <t>Imagen_URL</t>
  </si>
  <si>
    <t>BC-001</t>
  </si>
  <si>
    <t>entrants</t>
  </si>
  <si>
    <t>PA DE PIZZA</t>
  </si>
  <si>
    <t>Massa normal / integral</t>
  </si>
  <si>
    <t>Pan de pizza</t>
  </si>
  <si>
    <t>Masa normal / integral</t>
  </si>
  <si>
    <t>Pain à pizza</t>
  </si>
  <si>
    <t>Pâte classique / complète</t>
  </si>
  <si>
    <t>Pizza bread</t>
  </si>
  <si>
    <t>Regular / whole-wheat dough</t>
  </si>
  <si>
    <t>DELIVERY</t>
  </si>
  <si>
    <t>Idioma de visualización</t>
  </si>
  <si>
    <t>CAT</t>
  </si>
  <si>
    <t>CANALES</t>
  </si>
  <si>
    <t>RESTAURANTE · WEB · DELIVERY/TAKE AWAY</t>
  </si>
  <si>
    <t>PRECIO</t>
  </si>
  <si>
    <t>Restaurante y web igual. Delivery = base + incremento en €.</t>
  </si>
  <si>
    <t>PRODUCTOS</t>
  </si>
  <si>
    <t>Activar/desactivar desde MAESTRA, columnas O · P · Q</t>
  </si>
  <si>
    <t>IMÁGENES</t>
  </si>
  <si>
    <t>Introducir URL en MAESTRA, columna R</t>
  </si>
  <si>
    <t>VALIDACIÓN</t>
  </si>
  <si>
    <t>Datos en revisión: no publicar hasta validación.</t>
  </si>
  <si>
    <t>FUENTE</t>
  </si>
  <si>
    <t>Cartas V2 de Bella Ciao, conservadas en Drive.</t>
  </si>
  <si>
    <t>BC-002</t>
  </si>
  <si>
    <t>FOCACCIA</t>
  </si>
  <si>
    <t>BC-003</t>
  </si>
  <si>
    <t>PROVOLONE</t>
  </si>
  <si>
    <t>BC-004</t>
  </si>
  <si>
    <t>POLPETTINES D’ALBERGÍNIA</t>
  </si>
  <si>
    <t>6 unitats (cada unitat addicional +1,75 €)</t>
  </si>
  <si>
    <t>Albóndigas de berenjena</t>
  </si>
  <si>
    <t>6 unidades (unidad adicional +1,75 €)</t>
  </si>
  <si>
    <t>Boulettes d’aubergine</t>
  </si>
  <si>
    <t>6 pièces (pièce supplémentaire +1,75 €)</t>
  </si>
  <si>
    <t>Aubergine balls</t>
  </si>
  <si>
    <t>6 pieces (extra piece +€1.75)</t>
  </si>
  <si>
    <t>BC-005</t>
  </si>
  <si>
    <t>VITELLO TONNATO</t>
  </si>
  <si>
    <t>Utilitzem carn de vedell / amb salsa de tonyina</t>
  </si>
  <si>
    <t>Carne de ternera / salsa de atún</t>
  </si>
  <si>
    <t>Veau / sauce au thon</t>
  </si>
  <si>
    <t>Veal / tuna sauce</t>
  </si>
  <si>
    <t>BC-006</t>
  </si>
  <si>
    <t>BURRATA</t>
  </si>
  <si>
    <t>Amb salsa pesto o tòfona / tomàquet sec casolà / ruca / pa</t>
  </si>
  <si>
    <t>Con pesto o salsa de trufa / tomate seco casero / rúcula / pan</t>
  </si>
  <si>
    <t>Sauce pesto ou truffe / tomates séchées maison / roquette / pain</t>
  </si>
  <si>
    <t>Pesto or truffle sauce / house-made sun-dried tomatoes / rocket / bread</t>
  </si>
  <si>
    <t>BC-007</t>
  </si>
  <si>
    <t>CARPACCIO DE CARBASSÓ</t>
  </si>
  <si>
    <t>Amb tomàquets secs, stracciatella i pinyons</t>
  </si>
  <si>
    <t>Carpaccio de calabacín</t>
  </si>
  <si>
    <t>Con tomates secos, stracciatella y piñones</t>
  </si>
  <si>
    <t>Carpaccio de courgette</t>
  </si>
  <si>
    <t>Avec tomates séchées, stracciatella et pignons</t>
  </si>
  <si>
    <t>Courgette carpaccio</t>
  </si>
  <si>
    <t>With sun-dried tomatoes, stracciatella and pine nuts</t>
  </si>
  <si>
    <t>BC-008</t>
  </si>
  <si>
    <t>amanides</t>
  </si>
  <si>
    <t>BELLA CIAO</t>
  </si>
  <si>
    <t>Albergínia / tomàquet / filadèlfia / julivert / menta / salsa de xili dolça / sèsamo</t>
  </si>
  <si>
    <t>Berenjena / Tomate / Queso crema / Perejil / Menta / Salsa de chile dulce / Sésamo</t>
  </si>
  <si>
    <t>Aubergine / Tomate / Fromage frais / Persil / Menthe / Sauce chili douce / Sésame</t>
  </si>
  <si>
    <t>Aubergine / Tomato / Cream cheese / Parsley / Mint / Sweet chili sauce / Sesame</t>
  </si>
  <si>
    <t>BC-009</t>
  </si>
  <si>
    <t>BUFALATA</t>
  </si>
  <si>
    <t>Mesclum / burrata / bresaola / nous / olives</t>
  </si>
  <si>
    <t>Mezcla de hojas verdes / Burrata / Bresaola / Nueces / Aceitunas</t>
  </si>
  <si>
    <t>Mesclun / Burrata / Bresaola / Noix / Olives</t>
  </si>
  <si>
    <t>Mixed salad leaves / Burrata / Bresaola / Walnuts / Olives</t>
  </si>
  <si>
    <t>BC-010</t>
  </si>
  <si>
    <t>CÈSAR</t>
  </si>
  <si>
    <t>Enciam / pollastre / crostons / cherry / parmesà / salsa cèsar</t>
  </si>
  <si>
    <t>César</t>
  </si>
  <si>
    <t>Lechuga / Pollo / Picatostes / Tomates cherry / Parmesano / Salsa César</t>
  </si>
  <si>
    <t>Laitue / Poulet / Croûtons / Tomates cerises / Parmesan / Sauce César</t>
  </si>
  <si>
    <t>Caesar</t>
  </si>
  <si>
    <t>Lettuce / Chicken / Croutons / Cherry tomatoes / Parmesan / Caesar dressing</t>
  </si>
  <si>
    <t>BC-011</t>
  </si>
  <si>
    <t>CABRA</t>
  </si>
  <si>
    <t>Mesclum / cherry / escalivada / albergínia, pebre, ceba / nous / cabra / balsàmic</t>
  </si>
  <si>
    <t>Queso de cabra</t>
  </si>
  <si>
    <t>Mezcla de hojas verdes / Tomates cherry / Escalivada / Berenjena, pimiento, cebolla / Nueces / Queso de cabra / Vinagre balsámico</t>
  </si>
  <si>
    <t>Chèvre</t>
  </si>
  <si>
    <t>Mesclun / Tomates cerises / Légumes grillés / Aubergine, poivron, oignon / Noix / Fromage de chèvre / Vinaigre balsamique</t>
  </si>
  <si>
    <t>Goat cheese</t>
  </si>
  <si>
    <t>Mixed salad leaves / Cherry tomatoes / Roasted vegetables / Aubergine, pepper, onion / Walnuts / Goat cheese / Balsamic dressing</t>
  </si>
  <si>
    <t>BC-012</t>
  </si>
  <si>
    <t>LUNA CAPRESE</t>
  </si>
  <si>
    <t>Tomàquet / mozzarella / salsa pesto / ruca / salsa mòdena</t>
  </si>
  <si>
    <t>Tomate / Mozzarella / Salsa pesto / Rúcula / Salsa de Módena</t>
  </si>
  <si>
    <t>Tomate / Mozzarella / Sauce pesto / Roquette / Sauce balsamique de Modène</t>
  </si>
  <si>
    <t>Tomato / Mozzarella / Pesto sauce / Rocket / Modena balsamic dressing</t>
  </si>
  <si>
    <t>BC-013</t>
  </si>
  <si>
    <t>sopes</t>
  </si>
  <si>
    <t>SOPA DE LLENTIES</t>
  </si>
  <si>
    <t>Sopa de lentejas</t>
  </si>
  <si>
    <t>Soupe de lentilles</t>
  </si>
  <si>
    <t>Lentil soup</t>
  </si>
  <si>
    <t>BC-014</t>
  </si>
  <si>
    <t>SOPA DE BROCOLI</t>
  </si>
  <si>
    <t>Sopa de brócoli</t>
  </si>
  <si>
    <t>Soupe de brocoli</t>
  </si>
  <si>
    <t>Broccoli soup</t>
  </si>
  <si>
    <t>BC-015</t>
  </si>
  <si>
    <t>carn</t>
  </si>
  <si>
    <t>CARPACCIO DE BOU</t>
  </si>
  <si>
    <t>Carpaccio de buey</t>
  </si>
  <si>
    <t>Carpaccio de bœuf</t>
  </si>
  <si>
    <t>Beef carpaccio</t>
  </si>
  <si>
    <t>BC-016</t>
  </si>
  <si>
    <t>ENTRECOT DE BOU</t>
  </si>
  <si>
    <t>Entrecot de buey</t>
  </si>
  <si>
    <t>Entrecôte de bœuf</t>
  </si>
  <si>
    <t>Beef entrecôte</t>
  </si>
  <si>
    <t>BC-017</t>
  </si>
  <si>
    <t>EMBOTITS ITALIANS</t>
  </si>
  <si>
    <t>Bresaola / salami / mortadel·la de tòfona / mortadel·la de pistatxos / la piatta piccante</t>
  </si>
  <si>
    <t>Embutidos italianos</t>
  </si>
  <si>
    <t>Bresaola / Salami / Mortadela de trufa / Mortadela de pistachos / La piatta piccante</t>
  </si>
  <si>
    <t>Charcuteries italiennes</t>
  </si>
  <si>
    <t>Bresaola / Salami / Mortadelle à la truffe / Mortadelle à la pistache / La piatta piccante</t>
  </si>
  <si>
    <t>Italian cured meats</t>
  </si>
  <si>
    <t>Bresaola / Salami / Truffle mortadella / Pistachio mortadella / La piatta piccante</t>
  </si>
  <si>
    <t>BC-018</t>
  </si>
  <si>
    <t>pasta</t>
  </si>
  <si>
    <t>BIGOLI ALLA NAPOLITANA</t>
  </si>
  <si>
    <t>Pasta amb tomàquets</t>
  </si>
  <si>
    <t>Pasta con tomates</t>
  </si>
  <si>
    <t>Pâtes à la tomate</t>
  </si>
  <si>
    <t>Pasta with tomatoes</t>
  </si>
  <si>
    <t>BC-019</t>
  </si>
  <si>
    <t>TAGLIATELLE TARTUFATA</t>
  </si>
  <si>
    <t>Amb crema de tòfona</t>
  </si>
  <si>
    <t>Con crema de trufa</t>
  </si>
  <si>
    <t>À la crème de truffe</t>
  </si>
  <si>
    <t>With truffle cream</t>
  </si>
  <si>
    <t>BC-020</t>
  </si>
  <si>
    <t>GARGANELLI ALL’ARRABBIATA</t>
  </si>
  <si>
    <t>Salsa picant tradicional casolana</t>
  </si>
  <si>
    <t>Salsa picante tradicional casera</t>
  </si>
  <si>
    <t>Sauce piquante traditionnelle maison</t>
  </si>
  <si>
    <t>Traditional homemade spicy sauce</t>
  </si>
  <si>
    <t>BC-021</t>
  </si>
  <si>
    <t>SPAGHETTI RAGÚ ALLA BOLOGNESE</t>
  </si>
  <si>
    <t>Salsa casolana de carn d'Andorra</t>
  </si>
  <si>
    <t>Salsa casera con carne de Andorra</t>
  </si>
  <si>
    <t>Sauce maison à la viande d’Andorre</t>
  </si>
  <si>
    <t>House-made sauce with Andorran meat</t>
  </si>
  <si>
    <t>BC-022</t>
  </si>
  <si>
    <t>TAGLIATELLE 4 FORMATGES</t>
  </si>
  <si>
    <t>Mozzarella / cabra / emmental / gorgonzola</t>
  </si>
  <si>
    <t>Mozzarella / Queso de cabra / Emmental / Gorgonzola</t>
  </si>
  <si>
    <t>Mozzarella / Fromage de chèvre / Emmental / Gorgonzola</t>
  </si>
  <si>
    <t>Mozzarella / Goat cheese / Emmental / Gorgonzola</t>
  </si>
  <si>
    <t>BC-023</t>
  </si>
  <si>
    <t>LINGUINE D’ALL I ALFÀBREGA AMB PESTO</t>
  </si>
  <si>
    <t>Salsa casolana d’alfàbrega de quilòmetre 0</t>
  </si>
  <si>
    <t>Linguine de ajo y albahaca con pesto</t>
  </si>
  <si>
    <t>Salsa casera de albahaca local</t>
  </si>
  <si>
    <t>Linguine à l’ail et au basilic, au pesto</t>
  </si>
  <si>
    <t>Sauce maison au basilic local</t>
  </si>
  <si>
    <t>Garlic and basil linguine with pesto</t>
  </si>
  <si>
    <t>House-made sauce with locally grown basil</t>
  </si>
  <si>
    <t>BC-024</t>
  </si>
  <si>
    <t>BIGOLI ALLA CARBONARA</t>
  </si>
  <si>
    <t>Recepta tradicional amb ous i guanciale</t>
  </si>
  <si>
    <t>Receta tradicional con huevos y guanciale</t>
  </si>
  <si>
    <t>Recette traditionnelle aux œufs et au guanciale</t>
  </si>
  <si>
    <t>Traditional recipe with eggs and guanciale</t>
  </si>
  <si>
    <t>BC-025</t>
  </si>
  <si>
    <t>SPAGHETTI NERI FRUTTI DI MARE</t>
  </si>
  <si>
    <t>Salsa de tomàquets cherry / gambes / cloïsses / musclos</t>
  </si>
  <si>
    <t>Salsa de tomates cherry / gambas / almejas / mejillones</t>
  </si>
  <si>
    <t>Sauce aux tomates cerises / crevettes / palourdes / moules</t>
  </si>
  <si>
    <t>Cherry tomato sauce / prawns / clams / mussels</t>
  </si>
  <si>
    <t>BC-026</t>
  </si>
  <si>
    <t>pasta_farcida</t>
  </si>
  <si>
    <t>RAVIOLIS DE BOLETS</t>
  </si>
  <si>
    <t>Servit amb salsa casolana de pesto</t>
  </si>
  <si>
    <t>Raviolis de setas</t>
  </si>
  <si>
    <t>Servidos con salsa pesto casera</t>
  </si>
  <si>
    <t>Raviolis aux champignons</t>
  </si>
  <si>
    <t>Servis avec sauce pesto maison</t>
  </si>
  <si>
    <t>Mushroom ravioli</t>
  </si>
  <si>
    <t>Served with homemade pesto sauce</t>
  </si>
  <si>
    <t>BC-027</t>
  </si>
  <si>
    <t>FIOCCHI AMB PERA I RICOTTA</t>
  </si>
  <si>
    <t>Servit amb crema de carbassa casolana</t>
  </si>
  <si>
    <t>Servidos con crema de calabaza casera</t>
  </si>
  <si>
    <t>Servis avec crème de potiron maison</t>
  </si>
  <si>
    <t>Served with homemade pumpkin cream</t>
  </si>
  <si>
    <t>BC-028</t>
  </si>
  <si>
    <t>CANELONS DE CARN</t>
  </si>
  <si>
    <t>Canelons fets per nosaltres servits amb salsa boloñesa casolana</t>
  </si>
  <si>
    <t>Canelones de carne</t>
  </si>
  <si>
    <t>Canelones caseros con salsa boloñesa casera</t>
  </si>
  <si>
    <t>Cannellonis à la viande</t>
  </si>
  <si>
    <t>Cannellonis maison à la sauce bolognaise</t>
  </si>
  <si>
    <t>Meat cannelloni</t>
  </si>
  <si>
    <t>Homemade cannelloni with Bolognese sauce</t>
  </si>
  <si>
    <t>BC-029</t>
  </si>
  <si>
    <t>NYOQUIS</t>
  </si>
  <si>
    <t>Crema de tomàquet fresc i stracciatella</t>
  </si>
  <si>
    <t>Ñoquis</t>
  </si>
  <si>
    <t>Crema de tomate fresco y stracciatella</t>
  </si>
  <si>
    <t>Gnocchis</t>
  </si>
  <si>
    <t>Crème de tomate fraîche et stracciatella</t>
  </si>
  <si>
    <t>Gnocchi</t>
  </si>
  <si>
    <t>Fresh tomato cream and stracciatella</t>
  </si>
  <si>
    <t>BC-030</t>
  </si>
  <si>
    <t>LASANYA BOLONYESA</t>
  </si>
  <si>
    <t>Feta per nosaltres / salsa bolonyesa casolana</t>
  </si>
  <si>
    <t>Lasaña boloñesa</t>
  </si>
  <si>
    <t>Lasaña casera / salsa boloñesa casera</t>
  </si>
  <si>
    <t>Lasagnes à la bolognaise</t>
  </si>
  <si>
    <t>Lasagnes maison / sauce bolognaise</t>
  </si>
  <si>
    <t>Lasagne Bolognese</t>
  </si>
  <si>
    <t>Homemade lasagne / Bolognese sauce</t>
  </si>
  <si>
    <t>BC-031</t>
  </si>
  <si>
    <t>RISOTTO DE BOLETS</t>
  </si>
  <si>
    <t>Risotto de setas</t>
  </si>
  <si>
    <t>Risotto aux champignons</t>
  </si>
  <si>
    <t>Mushroom risotto</t>
  </si>
  <si>
    <t>BC-032</t>
  </si>
  <si>
    <t>pizzes</t>
  </si>
  <si>
    <t>MARGARITA</t>
  </si>
  <si>
    <t>Tomàquet / mozzarella</t>
  </si>
  <si>
    <t>Tomate / Mozzarella</t>
  </si>
  <si>
    <t>Tomato / Mozzarella</t>
  </si>
  <si>
    <t>BC-033</t>
  </si>
  <si>
    <t>PROSCIUTO</t>
  </si>
  <si>
    <t>Tomàquet / mozzarella / pernil dolç</t>
  </si>
  <si>
    <t>Tomate / Mozzarella / Jamón cocido</t>
  </si>
  <si>
    <t>Tomate / Mozzarella / Jambon blanc</t>
  </si>
  <si>
    <t>Tomato / Mozzarella / Cooked ham</t>
  </si>
  <si>
    <t>BC-034</t>
  </si>
  <si>
    <t>REGINA</t>
  </si>
  <si>
    <t>Tomàquet / mozzarella / pernil dolç / xampinyons</t>
  </si>
  <si>
    <t>Tomate / Mozzarella / Jamón cocido / Champiñones</t>
  </si>
  <si>
    <t>Tomate / Mozzarella / Jambon blanc / Champignons</t>
  </si>
  <si>
    <t>Tomato / Mozzarella / Cooked ham / Mushrooms</t>
  </si>
  <si>
    <t>BC-035</t>
  </si>
  <si>
    <t>CALZONE</t>
  </si>
  <si>
    <t>Tomàquet / mozzarella / pernil dolç / ou</t>
  </si>
  <si>
    <t>Tomate / Mozzarella / Jamón cocido / Huevo</t>
  </si>
  <si>
    <t>Tomate / Mozzarella / Jambon blanc / Œuf</t>
  </si>
  <si>
    <t>Tomato / Mozzarella / Cooked ham / Egg</t>
  </si>
  <si>
    <t>BC-036</t>
  </si>
  <si>
    <t>PEPPERONI</t>
  </si>
  <si>
    <t>Tomàquet / mozzarella / pepperoni / bitxo verd</t>
  </si>
  <si>
    <t>Tomate / Mozzarella / Pepperoni / Guindilla verde</t>
  </si>
  <si>
    <t>Tomate / Mozzarella / Pepperoni / Piment vert</t>
  </si>
  <si>
    <t>Tomato / Mozzarella / Pepperoni / Green chili pepper</t>
  </si>
  <si>
    <t>BC-037</t>
  </si>
  <si>
    <t>CAPRESE</t>
  </si>
  <si>
    <t>Tomàquet / mozzarella fresca / tomàquet sec casolà / alfàbrega</t>
  </si>
  <si>
    <t>Tomate / Mozzarella fresca / Tomate seco casero / Albahaca</t>
  </si>
  <si>
    <t>Tomate / Mozzarella fraîche / Tomates séchées maison / Basilic</t>
  </si>
  <si>
    <t>Tomato / Fresh mozzarella / House-made sun-dried tomatoes / Basil</t>
  </si>
  <si>
    <t>BC-038</t>
  </si>
  <si>
    <t>GAMBES</t>
  </si>
  <si>
    <t>Tomàquet / mozzarella / gambes / all-julivert / oli</t>
  </si>
  <si>
    <t>Gambas</t>
  </si>
  <si>
    <t>Tomate / Mozzarella / Gambas / Ajo y perejil / Aceite</t>
  </si>
  <si>
    <t>Crevettes</t>
  </si>
  <si>
    <t>Tomate / Mozzarella / Crevettes / Ail et persil / Huile</t>
  </si>
  <si>
    <t>Prawns</t>
  </si>
  <si>
    <t>Tomato / Mozzarella / Prawns / Garlic and parsley / Oil</t>
  </si>
  <si>
    <t>BC-039</t>
  </si>
  <si>
    <t>IBÉRICA</t>
  </si>
  <si>
    <t>Tomàquet / mozzarella / pernil ibèric / parmesà / ruca</t>
  </si>
  <si>
    <t>Tomate / Mozzarella / Jamón ibérico / Parmesano / Rúcula</t>
  </si>
  <si>
    <t>Tomate / Mozzarella / Jambon ibérique / Parmesan / Roquette</t>
  </si>
  <si>
    <t>Tomato / Mozzarella / Iberian ham / Parmesan / Rocket</t>
  </si>
  <si>
    <t>BC-040</t>
  </si>
  <si>
    <t>4 ESTACIONS</t>
  </si>
  <si>
    <t>Tomàquet / mozzarella / pernil dolç / xampinyons / carxofes / olives</t>
  </si>
  <si>
    <t>4 estaciones</t>
  </si>
  <si>
    <t>Tomate / Mozzarella / Jamón cocido / Champiñones / Alcachofas / Aceitunas</t>
  </si>
  <si>
    <t>Quatre saisons</t>
  </si>
  <si>
    <t>Tomate / Mozzarella / Jambon blanc / Champignons / Artichauts / Olives</t>
  </si>
  <si>
    <t>Four seasons</t>
  </si>
  <si>
    <t>Tomato / Mozzarella / Cooked ham / Mushrooms / Artichokes / Olives</t>
  </si>
  <si>
    <t>BC-041</t>
  </si>
  <si>
    <t>Tomàquet / mozzarella / bologna / burrata / vinagreta de pistatxo</t>
  </si>
  <si>
    <t>Tomate / Mozzarella / Mortadela de Bolonia / Burrata / Vinagreta de pistacho</t>
  </si>
  <si>
    <t>Tomate / Mozzarella / Mortadelle de Bologne / Burrata / Vinaigrette à la pistache</t>
  </si>
  <si>
    <t>Tomato / Mozzarella / Bologna mortadella / Burrata / Pistachio vinaigrette</t>
  </si>
  <si>
    <t>BC-042</t>
  </si>
  <si>
    <t>ITALIANA</t>
  </si>
  <si>
    <t>Tomàquet / ruca / mozzarella / cherry / burrata / salsa pesto</t>
  </si>
  <si>
    <t>Tomate / Rúcula / Mozzarella / Tomates cherry / Burrata / Salsa pesto</t>
  </si>
  <si>
    <t>Tomate / Roquette / Mozzarella / Tomates cerises / Burrata / Sauce pesto</t>
  </si>
  <si>
    <t>Tomato / Rocket / Mozzarella / Cherry tomatoes / Burrata / Pesto sauce</t>
  </si>
  <si>
    <t>BC-043</t>
  </si>
  <si>
    <t>VEGETARIANA</t>
  </si>
  <si>
    <t>Tomàquet / mozzarella / pebrot / carxofes / xampinyons / ceba</t>
  </si>
  <si>
    <t>Tomate / Mozzarella / Pimiento / Alcachofas / Champiñones / Cebolla</t>
  </si>
  <si>
    <t>Tomate / Mozzarella / Poivron / Artichauts / Champignons / Oignon</t>
  </si>
  <si>
    <t>Tomato / Mozzarella / Pepper / Artichokes / Mushrooms / Onion</t>
  </si>
  <si>
    <t>BC-044</t>
  </si>
  <si>
    <t>pizzes_blanques</t>
  </si>
  <si>
    <t>TARTUFATA</t>
  </si>
  <si>
    <t>Mozzarella / crema de tòfona / romaní / parmesà</t>
  </si>
  <si>
    <t>Mozzarella / Crema de trufa / Romero / Parmesano</t>
  </si>
  <si>
    <t>Mozzarella / Crème de truffe / Romarin / Parmesan</t>
  </si>
  <si>
    <t>Mozzarella / Truffle cream / Rosemary / Parmesan</t>
  </si>
  <si>
    <t>BC-045</t>
  </si>
  <si>
    <t>5 FORMATGES</t>
  </si>
  <si>
    <t>Mozzarella / cabra / emmental / roquefort / parmesà</t>
  </si>
  <si>
    <t>5 quesos</t>
  </si>
  <si>
    <t>Mozzarella / Queso de cabra / Emmental / Roquefort / Parmesano</t>
  </si>
  <si>
    <t>Cinq fromages</t>
  </si>
  <si>
    <t>Mozzarella / Fromage de chèvre / Emmental / Roquefort / Parmesan</t>
  </si>
  <si>
    <t>Five cheeses</t>
  </si>
  <si>
    <t>Mozzarella / Goat cheese / Emmental / Roquefort / Parmesan</t>
  </si>
  <si>
    <t>BC-046</t>
  </si>
  <si>
    <t>FOCACCIA TONNO</t>
  </si>
  <si>
    <t>Mozzarella / maionesa / tonyina / tomàquet / ceba / ruca</t>
  </si>
  <si>
    <t>Mozzarella / Mayonesa / Atún / Tomate / Cebolla / Rúcula</t>
  </si>
  <si>
    <t>Mozzarella / Mayonnaise / Thon / Tomate / Oignon / Roquette</t>
  </si>
  <si>
    <t>Mozzarella / Mayonnaise / Tuna / Tomato / Onion / Rocket</t>
  </si>
  <si>
    <t>BC-047</t>
  </si>
  <si>
    <t>CARBONARA</t>
  </si>
  <si>
    <t>Mozzarella / nata / guanciale / ceba / ou / parmesà</t>
  </si>
  <si>
    <t>Mozzarella / Nata / Guanciale / Cebolla / Huevo / Parmesano</t>
  </si>
  <si>
    <t>Mozzarella / Crème fraîche / Guanciale / Oignon / Œuf / Parmesan</t>
  </si>
  <si>
    <t>Mozzarella / Cream / Guanciale / Onion / Egg / Parmesan</t>
  </si>
  <si>
    <t>BC-048</t>
  </si>
  <si>
    <t>postres</t>
  </si>
  <si>
    <t>TIRAMISÚ CLÀSSIC</t>
  </si>
  <si>
    <t>Tiramisú clásico</t>
  </si>
  <si>
    <t>Tiramisu classique</t>
  </si>
  <si>
    <t>Classic tiramisu</t>
  </si>
  <si>
    <t>BC-049</t>
  </si>
  <si>
    <t>TIRAMISÚ DE FESTUCS</t>
  </si>
  <si>
    <t>Tiramisú de pistacho</t>
  </si>
  <si>
    <t>Tiramisu à la pistache</t>
  </si>
  <si>
    <t>Pistachio tiramisu</t>
  </si>
  <si>
    <t>BC-050</t>
  </si>
  <si>
    <t>GELAT ARTESANAL</t>
  </si>
  <si>
    <t>Helado artesanal</t>
  </si>
  <si>
    <t>Glace artisanale</t>
  </si>
  <si>
    <t>Artisan ice cream</t>
  </si>
  <si>
    <t>BC-051</t>
  </si>
  <si>
    <t>PANNA COTTA</t>
  </si>
  <si>
    <t>De romaní amb ginebra i préssec</t>
  </si>
  <si>
    <t>De romero con ginebra y melocotón</t>
  </si>
  <si>
    <t>Au romarin, gin et pêche</t>
  </si>
  <si>
    <t>Rosemary panna cotta with gin and peach</t>
  </si>
  <si>
    <t>BC-052</t>
  </si>
  <si>
    <t>COULANT DE XOCOLATA</t>
  </si>
  <si>
    <t>Coulant de chocolate</t>
  </si>
  <si>
    <t>Coulant au chocolat</t>
  </si>
  <si>
    <t>Chocolate fondant</t>
  </si>
  <si>
    <t>BC-053</t>
  </si>
  <si>
    <t>MADUIXES AL PEBRE</t>
  </si>
  <si>
    <t>Fresas a la pimienta</t>
  </si>
  <si>
    <t>Fraises au poivre</t>
  </si>
  <si>
    <t>Strawberries with pepper</t>
  </si>
  <si>
    <t>BC-054</t>
  </si>
  <si>
    <t>CALZONE DOLÇA</t>
  </si>
  <si>
    <t>Calzone dulce</t>
  </si>
  <si>
    <t>Calzone sucrée</t>
  </si>
  <si>
    <t>Sweet calzone</t>
  </si>
  <si>
    <t>BC-055</t>
  </si>
  <si>
    <t>AFFOGATO SENSE AMARETO</t>
  </si>
  <si>
    <t>Affogato sin amaretto</t>
  </si>
  <si>
    <t>Affogato sans amaretto</t>
  </si>
  <si>
    <t>Affogato without amaretto</t>
  </si>
  <si>
    <t>BC-056</t>
  </si>
  <si>
    <t>AFFOGATO AMB AMARETTO</t>
  </si>
  <si>
    <t>Affogato con amaretto</t>
  </si>
  <si>
    <t>Affogato avec amaretto</t>
  </si>
  <si>
    <t>Affogato with amaretto</t>
  </si>
  <si>
    <t>BC-057</t>
  </si>
  <si>
    <t>cafe_te</t>
  </si>
  <si>
    <t>CAFÈ SOL</t>
  </si>
  <si>
    <t>Café solo</t>
  </si>
  <si>
    <t>Café expresso</t>
  </si>
  <si>
    <t>Espresso</t>
  </si>
  <si>
    <t>BC-058</t>
  </si>
  <si>
    <t>ESPRESSO DOBLE</t>
  </si>
  <si>
    <t>Espresso doble</t>
  </si>
  <si>
    <t>Double expresso</t>
  </si>
  <si>
    <t>Double espresso</t>
  </si>
  <si>
    <t>BC-059</t>
  </si>
  <si>
    <t>CAFÈ AMB LLET</t>
  </si>
  <si>
    <t>Café con leche</t>
  </si>
  <si>
    <t>Café au lait</t>
  </si>
  <si>
    <t>Coffee with milk</t>
  </si>
  <si>
    <t>BC-060</t>
  </si>
  <si>
    <t>AMERICÀ / TALLAT</t>
  </si>
  <si>
    <t>Americano / Cortado</t>
  </si>
  <si>
    <t>Americano / Noisette</t>
  </si>
  <si>
    <t>BC-061</t>
  </si>
  <si>
    <t>CAPPUCCINO</t>
  </si>
  <si>
    <t>Cappuccino</t>
  </si>
  <si>
    <t>BC-062</t>
  </si>
  <si>
    <t>AMERICÀ AMB GEL</t>
  </si>
  <si>
    <t>Americano con hielo</t>
  </si>
  <si>
    <t>Americano glacé</t>
  </si>
  <si>
    <t>Iced Americano</t>
  </si>
  <si>
    <t>BC-063</t>
  </si>
  <si>
    <t>CIGALÓ</t>
  </si>
  <si>
    <t>Carajillo</t>
  </si>
  <si>
    <t>Café alcoolisé</t>
  </si>
  <si>
    <t>Espresso with liqueur</t>
  </si>
  <si>
    <t>BC-064</t>
  </si>
  <si>
    <t>TRIFÀSIC</t>
  </si>
  <si>
    <t>Trifásico</t>
  </si>
  <si>
    <t>Café trifásico</t>
  </si>
  <si>
    <t>Layered coffee with liqueur</t>
  </si>
  <si>
    <t>BC-065</t>
  </si>
  <si>
    <t>CAFÈ IRLANDÈS</t>
  </si>
  <si>
    <t>Café irlandés</t>
  </si>
  <si>
    <t>Irish coffee</t>
  </si>
  <si>
    <t>BC-066</t>
  </si>
  <si>
    <t>INFUSIONS DAMMANN</t>
  </si>
  <si>
    <t>Te negre / te verd / camamilla</t>
  </si>
  <si>
    <t>Infusiones Dammann</t>
  </si>
  <si>
    <t>Té negro / Té verde / Manzanilla</t>
  </si>
  <si>
    <t>Thés et infusions Dammann</t>
  </si>
  <si>
    <t>Thé noir / Thé vert / Camomille</t>
  </si>
  <si>
    <t>Dammann teas &amp; infusions</t>
  </si>
  <si>
    <t>Black tea / Green tea / Chamomile</t>
  </si>
  <si>
    <t>BC-067</t>
  </si>
  <si>
    <t>begudes</t>
  </si>
  <si>
    <t>REFRESCOS</t>
  </si>
  <si>
    <t>Coca-Cola / Fanta / Cola Zero / Nestea / Aquarius</t>
  </si>
  <si>
    <t>Refrescos</t>
  </si>
  <si>
    <t>Sodas</t>
  </si>
  <si>
    <t>Soft drinks</t>
  </si>
  <si>
    <t>BC-068</t>
  </si>
  <si>
    <t>TÒNICA</t>
  </si>
  <si>
    <t>Tónica</t>
  </si>
  <si>
    <t>Tonic</t>
  </si>
  <si>
    <t>Tonic water</t>
  </si>
  <si>
    <t>BC-069</t>
  </si>
  <si>
    <t>BITTER KAS</t>
  </si>
  <si>
    <t>BC-070</t>
  </si>
  <si>
    <t>SOLAN DE CABRAS</t>
  </si>
  <si>
    <t>BC-071</t>
  </si>
  <si>
    <t>VICHY CATALAN</t>
  </si>
  <si>
    <t>BC-072</t>
  </si>
  <si>
    <t>AIGUA S. PELLEGRINO</t>
  </si>
  <si>
    <t>BC-073</t>
  </si>
  <si>
    <t>alcohol</t>
  </si>
  <si>
    <t>XOPET</t>
  </si>
  <si>
    <t>Herbes / limoncello</t>
  </si>
  <si>
    <t>Chupito</t>
  </si>
  <si>
    <t>Hierbas / Limoncello</t>
  </si>
  <si>
    <t>Shooter</t>
  </si>
  <si>
    <t>Liqueur d’herbes / Limoncello</t>
  </si>
  <si>
    <t>Shot</t>
  </si>
  <si>
    <t>Herbal liqueur / Limoncello</t>
  </si>
  <si>
    <t>BC-074</t>
  </si>
  <si>
    <t>MARTINI / VERMUT</t>
  </si>
  <si>
    <t>Blanc / rosso</t>
  </si>
  <si>
    <t>Blanco / Rosso</t>
  </si>
  <si>
    <t>Blanc / Rosso</t>
  </si>
  <si>
    <t>White / Rosso</t>
  </si>
  <si>
    <t>BC-075</t>
  </si>
  <si>
    <t>BAILEYS</t>
  </si>
  <si>
    <t>BC-076</t>
  </si>
  <si>
    <t>ROM</t>
  </si>
  <si>
    <t>Ron</t>
  </si>
  <si>
    <t>Rhum</t>
  </si>
  <si>
    <t>Rum</t>
  </si>
  <si>
    <t>BC-077</t>
  </si>
  <si>
    <t>WHISKY</t>
  </si>
  <si>
    <t>J&amp;B / Jameson / Jack Daniel’s</t>
  </si>
  <si>
    <t>BC-078</t>
  </si>
  <si>
    <t>CAMPARI</t>
  </si>
  <si>
    <t>BC-079</t>
  </si>
  <si>
    <t>CARAMOL</t>
  </si>
  <si>
    <t>BC-080</t>
  </si>
  <si>
    <t>VODKA</t>
  </si>
  <si>
    <t>Absolut / Grey Goose</t>
  </si>
  <si>
    <t>BC-081</t>
  </si>
  <si>
    <t>coctels</t>
  </si>
  <si>
    <t>KIRSCH BELLA CIAO</t>
  </si>
  <si>
    <t>Caramol / cava</t>
  </si>
  <si>
    <t>Caramol / Cava</t>
  </si>
  <si>
    <t>BC-082</t>
  </si>
  <si>
    <t>CUBATA</t>
  </si>
  <si>
    <t>Alcohol / refresc</t>
  </si>
  <si>
    <t>Cubata</t>
  </si>
  <si>
    <t>Alcohol / Refresco</t>
  </si>
  <si>
    <t>Alcool avec soda</t>
  </si>
  <si>
    <t>Alcool / Soda</t>
  </si>
  <si>
    <t>Spirit with soft drink</t>
  </si>
  <si>
    <t>Spirit / Soft drink</t>
  </si>
  <si>
    <t>BC-083</t>
  </si>
  <si>
    <t>APEROL SPRITZ</t>
  </si>
  <si>
    <t>Aperol / cava / aigua amb gas</t>
  </si>
  <si>
    <t>Aperol / Cava / Agua con gas</t>
  </si>
  <si>
    <t>Aperol / Cava / Eau gazeuse</t>
  </si>
  <si>
    <t>Aperol / Cava / Sparkling water</t>
  </si>
  <si>
    <t>BC-084</t>
  </si>
  <si>
    <t>GIN-TÒNIC</t>
  </si>
  <si>
    <t>Hendrick’s / Floraison / Bombay Sapphire</t>
  </si>
  <si>
    <t>Gin-tonic</t>
  </si>
  <si>
    <t>Gin tonic</t>
  </si>
  <si>
    <t>Gin and tonic</t>
  </si>
  <si>
    <t>BC-085</t>
  </si>
  <si>
    <t>cerveses</t>
  </si>
  <si>
    <t>LAGER ESTRELLA ANDORRA</t>
  </si>
  <si>
    <t>Cervesa clara i refrescant, de malta suau i final net. Alc. 4,5 %.</t>
  </si>
  <si>
    <t>Cerveza clara y refrescante, con malta suave y final limpio. Alc. 4,5 %.</t>
  </si>
  <si>
    <t>Bière blonde rafraîchissante, malt doux et finale nette. Alc. 4,5 %.</t>
  </si>
  <si>
    <t>Light, refreshing beer with gentle malt and a clean finish. Alc. 4.5%.</t>
  </si>
  <si>
    <t>BC-086</t>
  </si>
  <si>
    <t>TORRADA ANDBEER</t>
  </si>
  <si>
    <t>Cos ple, malta torrada amb aromes de pa negre i lleugers tocs de cafè. Alc. 6,3 %.</t>
  </si>
  <si>
    <t>Cuerpo pleno, malta tostada con aromas de pan negro y ligeras notas de café. Alc. 6,3 %.</t>
  </si>
  <si>
    <t>Corps généreux, malt torréfié aux arômes de pain noir et légères notes de café. Alc. 6,3 %.</t>
  </si>
  <si>
    <t>Full-bodied toasted malt with dark-bread aromas and subtle coffee notes. Alc. 6.3%.</t>
  </si>
  <si>
    <t>BC-087</t>
  </si>
  <si>
    <t>AMBER ALE ANDBEER</t>
  </si>
  <si>
    <t>Color coure, amb notes de caramel i malta torrada, equilibrada amb el llúpol. Alc. 6,3 %.</t>
  </si>
  <si>
    <t>Color cobrizo, con notas de caramelo y malta tostada equilibradas por el lúpulo. Alc. 6,3 %.</t>
  </si>
  <si>
    <t>Robe cuivrée, notes de caramel et de malt torréfié équilibrées par le houblon. Alc. 6,3 %.</t>
  </si>
  <si>
    <t>Copper-coloured, with caramel and toasted-malt notes balanced by hops. Alc. 6.3%.</t>
  </si>
  <si>
    <t>BC-088</t>
  </si>
  <si>
    <t>IPA DE MUNTANYA ANDBEER</t>
  </si>
  <si>
    <t>IPA aromàtica amb notes de pi i fruita tropical, cos mitjà i final amarg. Alc. 7,1 %.</t>
  </si>
  <si>
    <t>IPA aromática con notas de pino y fruta tropical, cuerpo medio y final amargo. Alc. 7,1 %.</t>
  </si>
  <si>
    <t>IPA aromatique aux notes de pin et de fruits tropicaux, corps moyen et finale amère. Alc. 7,1 %.</t>
  </si>
  <si>
    <t>Aromatic IPA with pine and tropical-fruit notes, medium body and a bitter finish. Alc. 7.1%.</t>
  </si>
  <si>
    <t>BC-089</t>
  </si>
  <si>
    <t>CANYA</t>
  </si>
  <si>
    <t>0,33 l</t>
  </si>
  <si>
    <t>Caña</t>
  </si>
  <si>
    <t>Bière pression 0,33 l</t>
  </si>
  <si>
    <t>Draft beer 0.33 l</t>
  </si>
  <si>
    <t>0.33 l</t>
  </si>
  <si>
    <t>BC-090</t>
  </si>
  <si>
    <t>JARRA</t>
  </si>
  <si>
    <t>0,5 l</t>
  </si>
  <si>
    <t>Jarra</t>
  </si>
  <si>
    <t>Bière pression 0,5 l</t>
  </si>
  <si>
    <t>Draft beer 0.5 l</t>
  </si>
  <si>
    <t>0.5 l</t>
  </si>
  <si>
    <t>BC-SUP-001</t>
  </si>
  <si>
    <t>suplements</t>
  </si>
  <si>
    <t>PERNIL DOLÇ</t>
  </si>
  <si>
    <t>Jamón cocido</t>
  </si>
  <si>
    <t>Jambon blanc</t>
  </si>
  <si>
    <t>Cooked ham</t>
  </si>
  <si>
    <t>BC-SUP-002</t>
  </si>
  <si>
    <t>MOZZARELLA</t>
  </si>
  <si>
    <t>Mozzarella</t>
  </si>
  <si>
    <t>BC-SUP-003</t>
  </si>
  <si>
    <t>ANXOVES</t>
  </si>
  <si>
    <t>6 unitats</t>
  </si>
  <si>
    <t>Anchoas</t>
  </si>
  <si>
    <t>6 unidades</t>
  </si>
  <si>
    <t>Anchois</t>
  </si>
  <si>
    <t>6 pièces</t>
  </si>
  <si>
    <t>Anchovies</t>
  </si>
  <si>
    <t>6 pieces</t>
  </si>
  <si>
    <t>BC-SUP-004</t>
  </si>
  <si>
    <t>CHAMPIGNON</t>
  </si>
  <si>
    <t>Champiñones</t>
  </si>
  <si>
    <t>Champignons</t>
  </si>
  <si>
    <t>Mushrooms</t>
  </si>
  <si>
    <t>BC-SUP-005</t>
  </si>
  <si>
    <t>CARXOFA</t>
  </si>
  <si>
    <t>Alcachofa</t>
  </si>
  <si>
    <t>Artichaut</t>
  </si>
  <si>
    <t>Artichoke</t>
  </si>
  <si>
    <t>BC-SUP-006</t>
  </si>
  <si>
    <t>TONYINA</t>
  </si>
  <si>
    <t>Atún</t>
  </si>
  <si>
    <t>Thon</t>
  </si>
  <si>
    <t>Tuna</t>
  </si>
  <si>
    <t>BC-SUP-007</t>
  </si>
  <si>
    <t>CEBA</t>
  </si>
  <si>
    <t>Cebolla</t>
  </si>
  <si>
    <t>Oignon</t>
  </si>
  <si>
    <t>Onion</t>
  </si>
  <si>
    <t>BC-SUP-008</t>
  </si>
  <si>
    <t>OU</t>
  </si>
  <si>
    <t>Huevo</t>
  </si>
  <si>
    <t>Œuf</t>
  </si>
  <si>
    <t>Egg</t>
  </si>
  <si>
    <t>BC-SUP-009</t>
  </si>
  <si>
    <t>Burrata</t>
  </si>
  <si>
    <t>BC-SUP-010</t>
  </si>
  <si>
    <t>PERNIL IBÈRIC</t>
  </si>
  <si>
    <t>Jamón ibérico</t>
  </si>
  <si>
    <t>Jambon ibérique</t>
  </si>
  <si>
    <t>Iberian ham</t>
  </si>
  <si>
    <t>BC-SUP-011</t>
  </si>
  <si>
    <t>VERDURES EXTRA</t>
  </si>
  <si>
    <t>Verduras extra</t>
  </si>
  <si>
    <t>Légumes supplémentaires</t>
  </si>
  <si>
    <t>Extra vegetables</t>
  </si>
  <si>
    <t>BC-SUP-012</t>
  </si>
  <si>
    <t>TOMÀQUET</t>
  </si>
  <si>
    <t>Tomate</t>
  </si>
  <si>
    <t>Tomato</t>
  </si>
  <si>
    <t>BC-SUP-013</t>
  </si>
  <si>
    <t>SALSES</t>
  </si>
  <si>
    <t>Salsas</t>
  </si>
  <si>
    <t>Sauces</t>
  </si>
  <si>
    <t>BC-SUP-014</t>
  </si>
  <si>
    <t>GUANCIALE</t>
  </si>
  <si>
    <t>Guanciale</t>
  </si>
  <si>
    <t>BC-SUP-015</t>
  </si>
  <si>
    <t>PARMESÀ</t>
  </si>
  <si>
    <t>Parmesano</t>
  </si>
  <si>
    <t>Parmesan</t>
  </si>
  <si>
    <t>BC-SUP-016</t>
  </si>
  <si>
    <t>BC-SUP-017</t>
  </si>
  <si>
    <t>OLIVES</t>
  </si>
  <si>
    <t>Aceitunas</t>
  </si>
  <si>
    <t>Olives</t>
  </si>
  <si>
    <t>BC-SUG-001</t>
  </si>
  <si>
    <t>CREMA DI PEPERONI &amp; SALAMI</t>
  </si>
  <si>
    <t>crema de pebrot / mozzarella fresca / salami / pistatxo / alfàbrega</t>
  </si>
  <si>
    <t>BC-SUG-002</t>
  </si>
  <si>
    <t>PIZZA DE L’ANY AMB SALSA GROGA</t>
  </si>
  <si>
    <t>tomàquets grocs / tomàquets cherry / stracciatella / ceba marinada / alfàbrega</t>
  </si>
  <si>
    <t>BC-SUG-003</t>
  </si>
  <si>
    <t>FOCACCIA AMB MORTADEL·LA DE TÒFONA I BURRATA</t>
  </si>
  <si>
    <t>BC-SUG-004</t>
  </si>
  <si>
    <t>TORTELLINI AMB SALMÓ I GORGONZOLA</t>
  </si>
  <si>
    <t>fets a mà / salsa casolana</t>
  </si>
  <si>
    <t>Sección</t>
  </si>
  <si>
    <t>Producto CAT</t>
  </si>
  <si>
    <t>Ingredientes CAT</t>
  </si>
  <si>
    <t>Precio anterior (€)</t>
  </si>
  <si>
    <t>Estado</t>
  </si>
  <si>
    <t>Delivery / Take Away</t>
  </si>
  <si>
    <t>Pizzes</t>
  </si>
  <si>
    <t>SUGERENCIA · PENDIENTE DE VALIDACIÓN</t>
  </si>
  <si>
    <t>Aperitius</t>
  </si>
  <si>
    <t>Altramuces</t>
  </si>
  <si>
    <t>Apio</t>
  </si>
  <si>
    <t>Cacahuetes</t>
  </si>
  <si>
    <t>Crustáceos</t>
  </si>
  <si>
    <t>Frutos de cáscara</t>
  </si>
  <si>
    <t>Gluten</t>
  </si>
  <si>
    <t>Huevos</t>
  </si>
  <si>
    <t>Leche</t>
  </si>
  <si>
    <t>Pasta farcida</t>
  </si>
  <si>
    <t>Moluscos</t>
  </si>
  <si>
    <t>Mostaza</t>
  </si>
  <si>
    <t>Pescado</t>
  </si>
  <si>
    <t>Sésamo</t>
  </si>
  <si>
    <t>Soja</t>
  </si>
  <si>
    <t>Sulfitos</t>
  </si>
  <si>
    <t>CAMPO</t>
  </si>
  <si>
    <t>Validación cocina</t>
  </si>
  <si>
    <t>Observaciones</t>
  </si>
  <si>
    <t>INFORMACIÓN</t>
  </si>
  <si>
    <t>ORIGEN WEB</t>
  </si>
  <si>
    <t>https://docs.google.com/spreadsheets/d/17bkTbKQCJFIP6nECipsp6AvYc3TliufWtxd1b-VX2GM/edit</t>
  </si>
  <si>
    <t>PDF PREVENTIVO · PENDIENTE DE COCINA</t>
  </si>
  <si>
    <t>Casilla vacía NO garantiza ausencia. Confirmar receta, fichas de proveedores y contaminación cruzada.</t>
  </si>
  <si>
    <t>ORIGEN DELIVERY</t>
  </si>
  <si>
    <t>https://docs.google.com/spreadsheets/d/1g2xrXarsSR4FakUvckIPF1pHj13whEt_UlZWvfgRJ6A/edit</t>
  </si>
  <si>
    <t>IDIOMAS</t>
  </si>
  <si>
    <t>CAT ES FR EN</t>
  </si>
  <si>
    <t>PRECIOS</t>
  </si>
  <si>
    <t>Precio base compartido: restaurante y web. Incremento en euros: delivery.</t>
  </si>
  <si>
    <t>ESTADO</t>
  </si>
  <si>
    <t>BORRADOR · VALIDACIÓN PENDIENTE</t>
  </si>
  <si>
    <t>ALÉRGENOS</t>
  </si>
  <si>
    <t>Se mantienen aparte hasta validación por cocina.</t>
  </si>
  <si>
    <t>FOTOGRAFÍAS</t>
  </si>
  <si>
    <t>No se han inventado URLs. Requiere enlaces válidos accesibles para obtener miniaturas.</t>
  </si>
  <si>
    <t>EXCLUSIONES</t>
  </si>
  <si>
    <t>Cafés ocultos en web y delivery; caña y jarra no disponibles en delivery.</t>
  </si>
  <si>
    <t>EXTRAS</t>
  </si>
  <si>
    <t>17 suplementos incorporados con precios actualizados.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</si>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</sst>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€#,##0.00"/>
  </numFmts>
  <fonts count="5">
    <font>
      <sz val="10.0"/>
      <color rgb="FF000000"/>
      <name val="Arial"/>
      <scheme val="minor"/>
    </font>
    <font>
      <b/>
      <color rgb="FFF4EFE2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1E2833"/>
        <bgColor rgb="FF1E283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164" xfId="0" applyFill="1" applyFont="1" applyNumberFormat="1"/>
    <xf borderId="0" fillId="3" fontId="2" numFmtId="0" xfId="0" applyFill="1" applyFont="1"/>
    <xf borderId="0" fillId="0" fontId="2" numFmtId="0" xfId="0" applyFont="1"/>
    <xf borderId="0" fillId="0" fontId="2" numFmtId="164" xfId="0" applyFont="1" applyNumberForma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164" xfId="0" applyFill="1" applyFont="1" applyNumberFormat="1"/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5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164" xfId="0" applyFill="1" applyFont="1" applyNumberFormat="1"/>
    <xf borderId="0" fillId="5" fontId="2" numFmtId="0" xfId="0" applyAlignment="1" applyFill="1" applyFont="1">
      <alignment readingOrder="0"/>
    </xf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164" xfId="0" applyFill="1" applyFont="1" applyNumberFormat="1"/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7" fontId="2" numFmtId="0" xfId="0" applyAlignment="1" applyFill="1" applyFon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164" xfId="0" applyFill="1" applyFont="1" applyNumberFormat="1"/>
    <xf borderId="0" fillId="7" fontId="2" numFmtId="0" xfId="0" applyFill="1" applyFont="1"/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8" fontId="2" numFmtId="164" xfId="0" applyAlignment="1" applyFill="1" applyFont="1" applyNumberFormat="1">
      <alignment readingOrder="0"/>
    </xf>
    <xf borderId="0" fillId="8" fontId="2" numFmtId="164" xfId="0" applyFill="1" applyFont="1" applyNumberFormat="1"/>
    <xf borderId="0" fillId="8" fontId="2" numFmtId="0" xfId="0" applyFill="1" applyFont="1"/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9" fontId="2" numFmtId="164" xfId="0" applyAlignment="1" applyFill="1" applyFont="1" applyNumberFormat="1">
      <alignment readingOrder="0"/>
    </xf>
    <xf borderId="0" fillId="9" fontId="2" numFmtId="164" xfId="0" applyFill="1" applyFont="1" applyNumberFormat="1"/>
    <xf borderId="0" fillId="9" fontId="2" numFmtId="0" xfId="0" applyFill="1" applyFont="1"/>
    <xf borderId="0" fillId="9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10" fontId="2" numFmtId="164" xfId="0" applyAlignment="1" applyFill="1" applyFont="1" applyNumberFormat="1">
      <alignment readingOrder="0"/>
    </xf>
    <xf borderId="0" fillId="10" fontId="2" numFmtId="164" xfId="0" applyFill="1" applyFont="1" applyNumberFormat="1"/>
    <xf borderId="0" fillId="10" fontId="2" numFmtId="0" xfId="0" applyFill="1" applyFont="1"/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164" xfId="0" applyAlignment="1" applyFill="1" applyFont="1" applyNumberFormat="1">
      <alignment readingOrder="0"/>
    </xf>
    <xf borderId="0" fillId="11" fontId="2" numFmtId="164" xfId="0" applyFill="1" applyFont="1" applyNumberFormat="1"/>
    <xf borderId="0" fillId="11" fontId="2" numFmtId="0" xfId="0" applyAlignment="1" applyFill="1" applyFont="1">
      <alignment readingOrder="0"/>
    </xf>
    <xf borderId="0" fillId="11" fontId="2" numFmtId="0" xfId="0" applyFill="1" applyFont="1"/>
    <xf borderId="0" fillId="12" fontId="2" numFmtId="0" xfId="0" applyAlignment="1" applyFill="1" applyFont="1">
      <alignment readingOrder="0"/>
    </xf>
    <xf borderId="0" fillId="12" fontId="2" numFmtId="164" xfId="0" applyAlignment="1" applyFill="1" applyFont="1" applyNumberFormat="1">
      <alignment readingOrder="0"/>
    </xf>
    <xf borderId="0" fillId="12" fontId="2" numFmtId="164" xfId="0" applyFill="1" applyFont="1" applyNumberFormat="1"/>
    <xf borderId="0" fillId="12" fontId="2" numFmtId="0" xfId="0" applyFill="1" applyFont="1"/>
    <xf borderId="0" fillId="13" fontId="2" numFmtId="0" xfId="0" applyAlignment="1" applyFill="1" applyFont="1">
      <alignment readingOrder="0"/>
    </xf>
    <xf borderId="0" fillId="13" fontId="2" numFmtId="164" xfId="0" applyAlignment="1" applyFill="1" applyFont="1" applyNumberFormat="1">
      <alignment readingOrder="0"/>
    </xf>
    <xf borderId="0" fillId="13" fontId="2" numFmtId="164" xfId="0" applyFill="1" applyFont="1" applyNumberFormat="1"/>
    <xf borderId="0" fillId="13" fontId="2" numFmtId="0" xfId="0" applyAlignment="1" applyFill="1" applyFont="1">
      <alignment readingOrder="0"/>
    </xf>
    <xf borderId="0" fillId="13" fontId="2" numFmtId="0" xfId="0" applyFill="1" applyFont="1"/>
    <xf borderId="0" fillId="14" fontId="2" numFmtId="0" xfId="0" applyAlignment="1" applyFill="1" applyFont="1">
      <alignment readingOrder="0"/>
    </xf>
    <xf borderId="0" fillId="14" fontId="2" numFmtId="164" xfId="0" applyAlignment="1" applyFill="1" applyFont="1" applyNumberFormat="1">
      <alignment readingOrder="0"/>
    </xf>
    <xf borderId="0" fillId="14" fontId="2" numFmtId="164" xfId="0" applyFill="1" applyFont="1" applyNumberFormat="1"/>
    <xf borderId="0" fillId="14" fontId="2" numFmtId="0" xfId="0" applyAlignment="1" applyFill="1" applyFont="1">
      <alignment readingOrder="0"/>
    </xf>
    <xf borderId="0" fillId="14" fontId="2" numFmtId="0" xfId="0" applyFill="1" applyFont="1"/>
    <xf borderId="0" fillId="15" fontId="2" numFmtId="0" xfId="0" applyAlignment="1" applyFill="1" applyFont="1">
      <alignment readingOrder="0"/>
    </xf>
    <xf borderId="0" fillId="15" fontId="2" numFmtId="164" xfId="0" applyAlignment="1" applyFill="1" applyFont="1" applyNumberFormat="1">
      <alignment readingOrder="0"/>
    </xf>
    <xf borderId="0" fillId="15" fontId="2" numFmtId="164" xfId="0" applyFill="1" applyFont="1" applyNumberFormat="1"/>
    <xf borderId="0" fillId="15" fontId="2" numFmtId="0" xfId="0" applyFill="1" applyFont="1"/>
    <xf borderId="0" fillId="2" fontId="3" numFmtId="0" xfId="0" applyAlignment="1" applyFill="1" applyFont="1">
      <alignment readingOrder="0" vertical="center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1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bkTbKQCJFIP6nECipsp6AvYc3TliufWtxd1b-VX2GM/edit" TargetMode="External"/><Relationship Id="rId2" Type="http://schemas.openxmlformats.org/officeDocument/2006/relationships/hyperlink" Target="https://docs.google.com/spreadsheets/d/1g2xrXarsSR4FakUvckIPF1pHj13whEt_UlZWvfgRJ6A/edit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5.63"/>
    <col customWidth="1" min="4" max="11" width="23.88"/>
    <col customWidth="1" min="18" max="18" width="30.13"/>
  </cols>
  <sheetData>
    <row r="1" ht="28.5" customHeight="1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>
      <c r="A2" s="3" t="s">
        <v>27</v>
      </c>
      <c r="B2" s="3">
        <v>1.0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4">
        <v>5.0</v>
      </c>
      <c r="M2" s="4">
        <v>0.0</v>
      </c>
      <c r="N2" s="6">
        <f t="shared" ref="N2:N108" si="1">L2+M2</f>
        <v>5</v>
      </c>
      <c r="O2" s="3" t="b">
        <v>1</v>
      </c>
      <c r="P2" s="3" t="b">
        <v>1</v>
      </c>
      <c r="Q2" s="3" t="b">
        <v>1</v>
      </c>
      <c r="R2" s="3" t="s">
        <v>4</v>
      </c>
      <c r="S2" s="7"/>
      <c r="T2" s="7"/>
      <c r="U2" s="7"/>
    </row>
    <row r="3">
      <c r="A3" s="3" t="s">
        <v>52</v>
      </c>
      <c r="B3" s="3">
        <v>2.0</v>
      </c>
      <c r="C3" s="3" t="s">
        <v>28</v>
      </c>
      <c r="D3" s="3" t="s">
        <v>53</v>
      </c>
      <c r="E3" s="3" t="s">
        <v>4</v>
      </c>
      <c r="F3" s="3" t="s">
        <v>53</v>
      </c>
      <c r="G3" s="3" t="s">
        <v>4</v>
      </c>
      <c r="H3" s="3" t="s">
        <v>53</v>
      </c>
      <c r="I3" s="3" t="s">
        <v>4</v>
      </c>
      <c r="J3" s="3" t="s">
        <v>53</v>
      </c>
      <c r="K3" s="3" t="s">
        <v>4</v>
      </c>
      <c r="L3" s="4">
        <v>5.0</v>
      </c>
      <c r="M3" s="4">
        <v>0.0</v>
      </c>
      <c r="N3" s="6">
        <f t="shared" si="1"/>
        <v>5</v>
      </c>
      <c r="O3" s="3" t="b">
        <v>1</v>
      </c>
      <c r="P3" s="3" t="b">
        <v>1</v>
      </c>
      <c r="Q3" s="3" t="b">
        <v>1</v>
      </c>
      <c r="R3" s="3" t="s">
        <v>4</v>
      </c>
      <c r="S3" s="7"/>
      <c r="T3" s="7"/>
      <c r="U3" s="7"/>
    </row>
    <row r="4">
      <c r="A4" s="3" t="s">
        <v>54</v>
      </c>
      <c r="B4" s="3">
        <v>3.0</v>
      </c>
      <c r="C4" s="3" t="s">
        <v>28</v>
      </c>
      <c r="D4" s="3" t="s">
        <v>55</v>
      </c>
      <c r="E4" s="3" t="s">
        <v>4</v>
      </c>
      <c r="F4" s="3" t="s">
        <v>55</v>
      </c>
      <c r="G4" s="3" t="s">
        <v>4</v>
      </c>
      <c r="H4" s="3" t="s">
        <v>55</v>
      </c>
      <c r="I4" s="3" t="s">
        <v>4</v>
      </c>
      <c r="J4" s="3" t="s">
        <v>55</v>
      </c>
      <c r="K4" s="3" t="s">
        <v>4</v>
      </c>
      <c r="L4" s="4">
        <v>10.0</v>
      </c>
      <c r="M4" s="4">
        <v>0.0</v>
      </c>
      <c r="N4" s="6">
        <f t="shared" si="1"/>
        <v>10</v>
      </c>
      <c r="O4" s="3" t="b">
        <v>1</v>
      </c>
      <c r="P4" s="3" t="b">
        <v>1</v>
      </c>
      <c r="Q4" s="3" t="b">
        <v>1</v>
      </c>
      <c r="R4" s="3" t="s">
        <v>4</v>
      </c>
      <c r="S4" s="7"/>
      <c r="T4" s="7"/>
      <c r="U4" s="7"/>
    </row>
    <row r="5">
      <c r="A5" s="3" t="s">
        <v>56</v>
      </c>
      <c r="B5" s="3">
        <v>4.0</v>
      </c>
      <c r="C5" s="3" t="s">
        <v>28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4">
        <v>9.0</v>
      </c>
      <c r="M5" s="4">
        <v>0.0</v>
      </c>
      <c r="N5" s="6">
        <f t="shared" si="1"/>
        <v>9</v>
      </c>
      <c r="O5" s="3" t="b">
        <v>1</v>
      </c>
      <c r="P5" s="3" t="b">
        <v>1</v>
      </c>
      <c r="Q5" s="10" t="b">
        <v>0</v>
      </c>
      <c r="R5" s="3" t="s">
        <v>4</v>
      </c>
      <c r="S5" s="7"/>
      <c r="T5" s="7"/>
      <c r="U5" s="7"/>
    </row>
    <row r="6">
      <c r="A6" s="3" t="s">
        <v>65</v>
      </c>
      <c r="B6" s="3">
        <v>5.0</v>
      </c>
      <c r="C6" s="3" t="s">
        <v>28</v>
      </c>
      <c r="D6" s="3" t="s">
        <v>66</v>
      </c>
      <c r="E6" s="3" t="s">
        <v>67</v>
      </c>
      <c r="F6" s="3" t="s">
        <v>66</v>
      </c>
      <c r="G6" s="3" t="s">
        <v>68</v>
      </c>
      <c r="H6" s="3" t="s">
        <v>66</v>
      </c>
      <c r="I6" s="3" t="s">
        <v>69</v>
      </c>
      <c r="J6" s="3" t="s">
        <v>66</v>
      </c>
      <c r="K6" s="3" t="s">
        <v>70</v>
      </c>
      <c r="L6" s="4">
        <v>16.5</v>
      </c>
      <c r="M6" s="4">
        <v>0.0</v>
      </c>
      <c r="N6" s="6">
        <f t="shared" si="1"/>
        <v>16.5</v>
      </c>
      <c r="O6" s="3" t="b">
        <v>1</v>
      </c>
      <c r="P6" s="3" t="b">
        <v>1</v>
      </c>
      <c r="Q6" s="10" t="b">
        <v>0</v>
      </c>
      <c r="R6" s="3" t="s">
        <v>4</v>
      </c>
      <c r="S6" s="7"/>
      <c r="T6" s="7"/>
      <c r="U6" s="7"/>
    </row>
    <row r="7">
      <c r="A7" s="3" t="s">
        <v>71</v>
      </c>
      <c r="B7" s="3">
        <v>6.0</v>
      </c>
      <c r="C7" s="3" t="s">
        <v>28</v>
      </c>
      <c r="D7" s="3" t="s">
        <v>72</v>
      </c>
      <c r="E7" s="3" t="s">
        <v>73</v>
      </c>
      <c r="F7" s="3" t="s">
        <v>72</v>
      </c>
      <c r="G7" s="3" t="s">
        <v>74</v>
      </c>
      <c r="H7" s="3" t="s">
        <v>72</v>
      </c>
      <c r="I7" s="3" t="s">
        <v>75</v>
      </c>
      <c r="J7" s="3" t="s">
        <v>72</v>
      </c>
      <c r="K7" s="3" t="s">
        <v>76</v>
      </c>
      <c r="L7" s="4">
        <v>15.5</v>
      </c>
      <c r="M7" s="4">
        <v>0.0</v>
      </c>
      <c r="N7" s="6">
        <f t="shared" si="1"/>
        <v>15.5</v>
      </c>
      <c r="O7" s="3" t="b">
        <v>1</v>
      </c>
      <c r="P7" s="3" t="b">
        <v>1</v>
      </c>
      <c r="Q7" s="10" t="b">
        <v>0</v>
      </c>
      <c r="R7" s="3" t="s">
        <v>4</v>
      </c>
      <c r="S7" s="7"/>
      <c r="T7" s="7"/>
      <c r="U7" s="7"/>
    </row>
    <row r="8">
      <c r="A8" s="3" t="s">
        <v>77</v>
      </c>
      <c r="B8" s="3">
        <v>7.0</v>
      </c>
      <c r="C8" s="3" t="s">
        <v>28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85</v>
      </c>
      <c r="L8" s="4">
        <v>15.5</v>
      </c>
      <c r="M8" s="4">
        <v>0.0</v>
      </c>
      <c r="N8" s="6">
        <f t="shared" si="1"/>
        <v>15.5</v>
      </c>
      <c r="O8" s="3" t="b">
        <v>1</v>
      </c>
      <c r="P8" s="3" t="b">
        <v>1</v>
      </c>
      <c r="Q8" s="10" t="b">
        <v>0</v>
      </c>
      <c r="R8" s="3" t="s">
        <v>4</v>
      </c>
      <c r="S8" s="7"/>
      <c r="T8" s="7"/>
      <c r="U8" s="7"/>
    </row>
    <row r="9">
      <c r="A9" s="11" t="s">
        <v>86</v>
      </c>
      <c r="B9" s="11">
        <v>8.0</v>
      </c>
      <c r="C9" s="11" t="s">
        <v>87</v>
      </c>
      <c r="D9" s="11" t="s">
        <v>88</v>
      </c>
      <c r="E9" s="11" t="s">
        <v>89</v>
      </c>
      <c r="F9" s="11" t="s">
        <v>88</v>
      </c>
      <c r="G9" s="11" t="s">
        <v>90</v>
      </c>
      <c r="H9" s="11" t="s">
        <v>88</v>
      </c>
      <c r="I9" s="11" t="s">
        <v>91</v>
      </c>
      <c r="J9" s="11" t="s">
        <v>88</v>
      </c>
      <c r="K9" s="11" t="s">
        <v>92</v>
      </c>
      <c r="L9" s="12">
        <v>16.0</v>
      </c>
      <c r="M9" s="12">
        <v>0.0</v>
      </c>
      <c r="N9" s="13">
        <f t="shared" si="1"/>
        <v>16</v>
      </c>
      <c r="O9" s="11" t="b">
        <v>1</v>
      </c>
      <c r="P9" s="11" t="b">
        <v>1</v>
      </c>
      <c r="Q9" s="14" t="b">
        <v>0</v>
      </c>
      <c r="R9" s="11" t="s">
        <v>4</v>
      </c>
      <c r="S9" s="15"/>
      <c r="T9" s="15"/>
      <c r="U9" s="15"/>
    </row>
    <row r="10">
      <c r="A10" s="11" t="s">
        <v>93</v>
      </c>
      <c r="B10" s="11">
        <v>9.0</v>
      </c>
      <c r="C10" s="11" t="s">
        <v>87</v>
      </c>
      <c r="D10" s="11" t="s">
        <v>94</v>
      </c>
      <c r="E10" s="11" t="s">
        <v>95</v>
      </c>
      <c r="F10" s="11" t="s">
        <v>94</v>
      </c>
      <c r="G10" s="11" t="s">
        <v>96</v>
      </c>
      <c r="H10" s="11" t="s">
        <v>94</v>
      </c>
      <c r="I10" s="11" t="s">
        <v>97</v>
      </c>
      <c r="J10" s="11" t="s">
        <v>94</v>
      </c>
      <c r="K10" s="11" t="s">
        <v>98</v>
      </c>
      <c r="L10" s="12">
        <v>16.0</v>
      </c>
      <c r="M10" s="12">
        <v>0.0</v>
      </c>
      <c r="N10" s="13">
        <f t="shared" si="1"/>
        <v>16</v>
      </c>
      <c r="O10" s="11" t="b">
        <v>1</v>
      </c>
      <c r="P10" s="11" t="b">
        <v>1</v>
      </c>
      <c r="Q10" s="11" t="b">
        <v>1</v>
      </c>
      <c r="R10" s="11" t="s">
        <v>4</v>
      </c>
      <c r="S10" s="15"/>
      <c r="T10" s="15"/>
      <c r="U10" s="15"/>
    </row>
    <row r="11">
      <c r="A11" s="11" t="s">
        <v>99</v>
      </c>
      <c r="B11" s="11">
        <v>10.0</v>
      </c>
      <c r="C11" s="11" t="s">
        <v>87</v>
      </c>
      <c r="D11" s="11" t="s">
        <v>100</v>
      </c>
      <c r="E11" s="11" t="s">
        <v>101</v>
      </c>
      <c r="F11" s="11" t="s">
        <v>102</v>
      </c>
      <c r="G11" s="11" t="s">
        <v>103</v>
      </c>
      <c r="H11" s="11" t="s">
        <v>102</v>
      </c>
      <c r="I11" s="11" t="s">
        <v>104</v>
      </c>
      <c r="J11" s="11" t="s">
        <v>105</v>
      </c>
      <c r="K11" s="11" t="s">
        <v>106</v>
      </c>
      <c r="L11" s="12">
        <v>16.0</v>
      </c>
      <c r="M11" s="12">
        <v>0.0</v>
      </c>
      <c r="N11" s="13">
        <f t="shared" si="1"/>
        <v>16</v>
      </c>
      <c r="O11" s="11" t="b">
        <v>1</v>
      </c>
      <c r="P11" s="11" t="b">
        <v>1</v>
      </c>
      <c r="Q11" s="11" t="b">
        <v>1</v>
      </c>
      <c r="R11" s="11" t="s">
        <v>4</v>
      </c>
      <c r="S11" s="15"/>
      <c r="T11" s="15"/>
      <c r="U11" s="15"/>
    </row>
    <row r="12">
      <c r="A12" s="11" t="s">
        <v>107</v>
      </c>
      <c r="B12" s="11">
        <v>11.0</v>
      </c>
      <c r="C12" s="11" t="s">
        <v>87</v>
      </c>
      <c r="D12" s="11" t="s">
        <v>108</v>
      </c>
      <c r="E12" s="11" t="s">
        <v>109</v>
      </c>
      <c r="F12" s="11" t="s">
        <v>110</v>
      </c>
      <c r="G12" s="11" t="s">
        <v>111</v>
      </c>
      <c r="H12" s="11" t="s">
        <v>112</v>
      </c>
      <c r="I12" s="11" t="s">
        <v>113</v>
      </c>
      <c r="J12" s="11" t="s">
        <v>114</v>
      </c>
      <c r="K12" s="11" t="s">
        <v>115</v>
      </c>
      <c r="L12" s="12">
        <v>16.0</v>
      </c>
      <c r="M12" s="12">
        <v>0.0</v>
      </c>
      <c r="N12" s="13">
        <f t="shared" si="1"/>
        <v>16</v>
      </c>
      <c r="O12" s="11" t="b">
        <v>1</v>
      </c>
      <c r="P12" s="11" t="b">
        <v>1</v>
      </c>
      <c r="Q12" s="11" t="b">
        <v>1</v>
      </c>
      <c r="R12" s="11" t="s">
        <v>4</v>
      </c>
      <c r="S12" s="15"/>
      <c r="T12" s="15"/>
      <c r="U12" s="15"/>
    </row>
    <row r="13">
      <c r="A13" s="11" t="s">
        <v>116</v>
      </c>
      <c r="B13" s="11">
        <v>12.0</v>
      </c>
      <c r="C13" s="11" t="s">
        <v>87</v>
      </c>
      <c r="D13" s="11" t="s">
        <v>117</v>
      </c>
      <c r="E13" s="11" t="s">
        <v>118</v>
      </c>
      <c r="F13" s="11" t="s">
        <v>117</v>
      </c>
      <c r="G13" s="11" t="s">
        <v>119</v>
      </c>
      <c r="H13" s="11" t="s">
        <v>117</v>
      </c>
      <c r="I13" s="11" t="s">
        <v>120</v>
      </c>
      <c r="J13" s="11" t="s">
        <v>117</v>
      </c>
      <c r="K13" s="11" t="s">
        <v>121</v>
      </c>
      <c r="L13" s="12">
        <v>15.5</v>
      </c>
      <c r="M13" s="12">
        <v>0.0</v>
      </c>
      <c r="N13" s="13">
        <f t="shared" si="1"/>
        <v>15.5</v>
      </c>
      <c r="O13" s="11" t="b">
        <v>1</v>
      </c>
      <c r="P13" s="11" t="b">
        <v>1</v>
      </c>
      <c r="Q13" s="11" t="b">
        <v>1</v>
      </c>
      <c r="R13" s="11" t="s">
        <v>4</v>
      </c>
      <c r="S13" s="15"/>
      <c r="T13" s="15"/>
      <c r="U13" s="15"/>
    </row>
    <row r="14">
      <c r="A14" s="16" t="s">
        <v>122</v>
      </c>
      <c r="B14" s="16">
        <v>13.0</v>
      </c>
      <c r="C14" s="16" t="s">
        <v>123</v>
      </c>
      <c r="D14" s="16" t="s">
        <v>124</v>
      </c>
      <c r="E14" s="16" t="s">
        <v>4</v>
      </c>
      <c r="F14" s="16" t="s">
        <v>125</v>
      </c>
      <c r="G14" s="16" t="s">
        <v>4</v>
      </c>
      <c r="H14" s="16" t="s">
        <v>126</v>
      </c>
      <c r="I14" s="16" t="s">
        <v>4</v>
      </c>
      <c r="J14" s="16" t="s">
        <v>127</v>
      </c>
      <c r="K14" s="16" t="s">
        <v>4</v>
      </c>
      <c r="L14" s="17">
        <v>6.0</v>
      </c>
      <c r="M14" s="17">
        <v>0.0</v>
      </c>
      <c r="N14" s="18">
        <f t="shared" si="1"/>
        <v>6</v>
      </c>
      <c r="O14" s="16" t="b">
        <v>1</v>
      </c>
      <c r="P14" s="16" t="b">
        <v>1</v>
      </c>
      <c r="Q14" s="19" t="b">
        <v>0</v>
      </c>
      <c r="R14" s="16" t="s">
        <v>4</v>
      </c>
      <c r="S14" s="20"/>
      <c r="T14" s="20"/>
      <c r="U14" s="20"/>
    </row>
    <row r="15">
      <c r="A15" s="16" t="s">
        <v>128</v>
      </c>
      <c r="B15" s="16">
        <v>14.0</v>
      </c>
      <c r="C15" s="16" t="s">
        <v>123</v>
      </c>
      <c r="D15" s="16" t="s">
        <v>129</v>
      </c>
      <c r="E15" s="16" t="s">
        <v>4</v>
      </c>
      <c r="F15" s="16" t="s">
        <v>130</v>
      </c>
      <c r="G15" s="16" t="s">
        <v>4</v>
      </c>
      <c r="H15" s="16" t="s">
        <v>131</v>
      </c>
      <c r="I15" s="16" t="s">
        <v>4</v>
      </c>
      <c r="J15" s="16" t="s">
        <v>132</v>
      </c>
      <c r="K15" s="16" t="s">
        <v>4</v>
      </c>
      <c r="L15" s="17">
        <v>6.0</v>
      </c>
      <c r="M15" s="17">
        <v>0.0</v>
      </c>
      <c r="N15" s="18">
        <f t="shared" si="1"/>
        <v>6</v>
      </c>
      <c r="O15" s="16" t="b">
        <v>1</v>
      </c>
      <c r="P15" s="16" t="b">
        <v>1</v>
      </c>
      <c r="Q15" s="19" t="b">
        <v>0</v>
      </c>
      <c r="R15" s="16" t="s">
        <v>4</v>
      </c>
      <c r="S15" s="20"/>
      <c r="T15" s="20"/>
      <c r="U15" s="20"/>
    </row>
    <row r="16">
      <c r="A16" s="21" t="s">
        <v>133</v>
      </c>
      <c r="B16" s="21">
        <v>15.0</v>
      </c>
      <c r="C16" s="21" t="s">
        <v>134</v>
      </c>
      <c r="D16" s="21" t="s">
        <v>135</v>
      </c>
      <c r="E16" s="21" t="s">
        <v>4</v>
      </c>
      <c r="F16" s="21" t="s">
        <v>136</v>
      </c>
      <c r="G16" s="21" t="s">
        <v>4</v>
      </c>
      <c r="H16" s="21" t="s">
        <v>137</v>
      </c>
      <c r="I16" s="21" t="s">
        <v>4</v>
      </c>
      <c r="J16" s="21" t="s">
        <v>138</v>
      </c>
      <c r="K16" s="21" t="s">
        <v>4</v>
      </c>
      <c r="L16" s="22">
        <v>15.0</v>
      </c>
      <c r="M16" s="22">
        <v>0.0</v>
      </c>
      <c r="N16" s="23">
        <f t="shared" si="1"/>
        <v>15</v>
      </c>
      <c r="O16" s="21" t="b">
        <v>1</v>
      </c>
      <c r="P16" s="21" t="b">
        <v>1</v>
      </c>
      <c r="Q16" s="24" t="b">
        <v>0</v>
      </c>
      <c r="R16" s="21" t="s">
        <v>4</v>
      </c>
      <c r="S16" s="25"/>
      <c r="T16" s="25"/>
      <c r="U16" s="25"/>
    </row>
    <row r="17">
      <c r="A17" s="21" t="s">
        <v>139</v>
      </c>
      <c r="B17" s="21">
        <v>16.0</v>
      </c>
      <c r="C17" s="21" t="s">
        <v>134</v>
      </c>
      <c r="D17" s="21" t="s">
        <v>140</v>
      </c>
      <c r="E17" s="21" t="s">
        <v>4</v>
      </c>
      <c r="F17" s="21" t="s">
        <v>141</v>
      </c>
      <c r="G17" s="21" t="s">
        <v>4</v>
      </c>
      <c r="H17" s="21" t="s">
        <v>142</v>
      </c>
      <c r="I17" s="21" t="s">
        <v>4</v>
      </c>
      <c r="J17" s="21" t="s">
        <v>143</v>
      </c>
      <c r="K17" s="21" t="s">
        <v>4</v>
      </c>
      <c r="L17" s="22">
        <v>8.5</v>
      </c>
      <c r="M17" s="22">
        <v>0.0</v>
      </c>
      <c r="N17" s="23">
        <f t="shared" si="1"/>
        <v>8.5</v>
      </c>
      <c r="O17" s="21" t="b">
        <v>1</v>
      </c>
      <c r="P17" s="21" t="b">
        <v>1</v>
      </c>
      <c r="Q17" s="24" t="b">
        <v>0</v>
      </c>
      <c r="R17" s="21" t="s">
        <v>4</v>
      </c>
      <c r="S17" s="25"/>
      <c r="T17" s="25"/>
      <c r="U17" s="25"/>
    </row>
    <row r="18">
      <c r="A18" s="21" t="s">
        <v>144</v>
      </c>
      <c r="B18" s="21">
        <v>17.0</v>
      </c>
      <c r="C18" s="21" t="s">
        <v>134</v>
      </c>
      <c r="D18" s="21" t="s">
        <v>145</v>
      </c>
      <c r="E18" s="21" t="s">
        <v>146</v>
      </c>
      <c r="F18" s="21" t="s">
        <v>147</v>
      </c>
      <c r="G18" s="21" t="s">
        <v>148</v>
      </c>
      <c r="H18" s="21" t="s">
        <v>149</v>
      </c>
      <c r="I18" s="21" t="s">
        <v>150</v>
      </c>
      <c r="J18" s="21" t="s">
        <v>151</v>
      </c>
      <c r="K18" s="21" t="s">
        <v>152</v>
      </c>
      <c r="L18" s="22">
        <v>22.5</v>
      </c>
      <c r="M18" s="22">
        <v>0.0</v>
      </c>
      <c r="N18" s="23">
        <f t="shared" si="1"/>
        <v>22.5</v>
      </c>
      <c r="O18" s="21" t="b">
        <v>1</v>
      </c>
      <c r="P18" s="21" t="b">
        <v>1</v>
      </c>
      <c r="Q18" s="21" t="b">
        <v>1</v>
      </c>
      <c r="R18" s="21" t="s">
        <v>4</v>
      </c>
      <c r="S18" s="25"/>
      <c r="T18" s="25"/>
      <c r="U18" s="25"/>
    </row>
    <row r="19">
      <c r="A19" s="26" t="s">
        <v>153</v>
      </c>
      <c r="B19" s="26">
        <v>18.0</v>
      </c>
      <c r="C19" s="26" t="s">
        <v>154</v>
      </c>
      <c r="D19" s="26" t="s">
        <v>155</v>
      </c>
      <c r="E19" s="26" t="s">
        <v>156</v>
      </c>
      <c r="F19" s="26" t="s">
        <v>155</v>
      </c>
      <c r="G19" s="26" t="s">
        <v>157</v>
      </c>
      <c r="H19" s="26" t="s">
        <v>155</v>
      </c>
      <c r="I19" s="26" t="s">
        <v>158</v>
      </c>
      <c r="J19" s="26" t="s">
        <v>155</v>
      </c>
      <c r="K19" s="26" t="s">
        <v>159</v>
      </c>
      <c r="L19" s="27">
        <v>9.5</v>
      </c>
      <c r="M19" s="27">
        <v>0.0</v>
      </c>
      <c r="N19" s="28">
        <f t="shared" si="1"/>
        <v>9.5</v>
      </c>
      <c r="O19" s="26" t="b">
        <v>1</v>
      </c>
      <c r="P19" s="26" t="b">
        <v>1</v>
      </c>
      <c r="Q19" s="26" t="b">
        <v>1</v>
      </c>
      <c r="R19" s="26" t="s">
        <v>4</v>
      </c>
      <c r="S19" s="29"/>
      <c r="T19" s="29"/>
      <c r="U19" s="29"/>
    </row>
    <row r="20">
      <c r="A20" s="26" t="s">
        <v>160</v>
      </c>
      <c r="B20" s="26">
        <v>19.0</v>
      </c>
      <c r="C20" s="26" t="s">
        <v>154</v>
      </c>
      <c r="D20" s="26" t="s">
        <v>161</v>
      </c>
      <c r="E20" s="26" t="s">
        <v>162</v>
      </c>
      <c r="F20" s="26" t="s">
        <v>161</v>
      </c>
      <c r="G20" s="26" t="s">
        <v>163</v>
      </c>
      <c r="H20" s="26" t="s">
        <v>161</v>
      </c>
      <c r="I20" s="26" t="s">
        <v>164</v>
      </c>
      <c r="J20" s="26" t="s">
        <v>161</v>
      </c>
      <c r="K20" s="26" t="s">
        <v>165</v>
      </c>
      <c r="L20" s="27">
        <v>14.0</v>
      </c>
      <c r="M20" s="27">
        <v>0.0</v>
      </c>
      <c r="N20" s="28">
        <f t="shared" si="1"/>
        <v>14</v>
      </c>
      <c r="O20" s="26" t="b">
        <v>1</v>
      </c>
      <c r="P20" s="26" t="b">
        <v>1</v>
      </c>
      <c r="Q20" s="26" t="b">
        <v>1</v>
      </c>
      <c r="R20" s="26" t="s">
        <v>4</v>
      </c>
      <c r="S20" s="29"/>
      <c r="T20" s="29"/>
      <c r="U20" s="29"/>
    </row>
    <row r="21">
      <c r="A21" s="26" t="s">
        <v>166</v>
      </c>
      <c r="B21" s="26">
        <v>20.0</v>
      </c>
      <c r="C21" s="26" t="s">
        <v>154</v>
      </c>
      <c r="D21" s="26" t="s">
        <v>167</v>
      </c>
      <c r="E21" s="26" t="s">
        <v>168</v>
      </c>
      <c r="F21" s="26" t="s">
        <v>167</v>
      </c>
      <c r="G21" s="26" t="s">
        <v>169</v>
      </c>
      <c r="H21" s="26" t="s">
        <v>167</v>
      </c>
      <c r="I21" s="26" t="s">
        <v>170</v>
      </c>
      <c r="J21" s="26" t="s">
        <v>167</v>
      </c>
      <c r="K21" s="26" t="s">
        <v>171</v>
      </c>
      <c r="L21" s="27">
        <v>14.0</v>
      </c>
      <c r="M21" s="27">
        <v>0.0</v>
      </c>
      <c r="N21" s="28">
        <f t="shared" si="1"/>
        <v>14</v>
      </c>
      <c r="O21" s="26" t="b">
        <v>1</v>
      </c>
      <c r="P21" s="26" t="b">
        <v>1</v>
      </c>
      <c r="Q21" s="26" t="b">
        <v>1</v>
      </c>
      <c r="R21" s="26" t="s">
        <v>4</v>
      </c>
      <c r="S21" s="29"/>
      <c r="T21" s="29"/>
      <c r="U21" s="29"/>
    </row>
    <row r="22">
      <c r="A22" s="26" t="s">
        <v>172</v>
      </c>
      <c r="B22" s="26">
        <v>21.0</v>
      </c>
      <c r="C22" s="26" t="s">
        <v>154</v>
      </c>
      <c r="D22" s="26" t="s">
        <v>173</v>
      </c>
      <c r="E22" s="26" t="s">
        <v>174</v>
      </c>
      <c r="F22" s="26" t="s">
        <v>173</v>
      </c>
      <c r="G22" s="26" t="s">
        <v>175</v>
      </c>
      <c r="H22" s="26" t="s">
        <v>173</v>
      </c>
      <c r="I22" s="26" t="s">
        <v>176</v>
      </c>
      <c r="J22" s="26" t="s">
        <v>173</v>
      </c>
      <c r="K22" s="26" t="s">
        <v>177</v>
      </c>
      <c r="L22" s="27">
        <v>15.5</v>
      </c>
      <c r="M22" s="27">
        <v>0.0</v>
      </c>
      <c r="N22" s="28">
        <f t="shared" si="1"/>
        <v>15.5</v>
      </c>
      <c r="O22" s="26" t="b">
        <v>1</v>
      </c>
      <c r="P22" s="26" t="b">
        <v>1</v>
      </c>
      <c r="Q22" s="26" t="b">
        <v>1</v>
      </c>
      <c r="R22" s="26" t="s">
        <v>4</v>
      </c>
      <c r="S22" s="29"/>
      <c r="T22" s="29"/>
      <c r="U22" s="29"/>
    </row>
    <row r="23">
      <c r="A23" s="26" t="s">
        <v>178</v>
      </c>
      <c r="B23" s="26">
        <v>22.0</v>
      </c>
      <c r="C23" s="26" t="s">
        <v>154</v>
      </c>
      <c r="D23" s="26" t="s">
        <v>179</v>
      </c>
      <c r="E23" s="26" t="s">
        <v>180</v>
      </c>
      <c r="F23" s="26" t="s">
        <v>179</v>
      </c>
      <c r="G23" s="26" t="s">
        <v>181</v>
      </c>
      <c r="H23" s="26" t="s">
        <v>179</v>
      </c>
      <c r="I23" s="26" t="s">
        <v>182</v>
      </c>
      <c r="J23" s="26" t="s">
        <v>179</v>
      </c>
      <c r="K23" s="26" t="s">
        <v>183</v>
      </c>
      <c r="L23" s="27">
        <v>15.5</v>
      </c>
      <c r="M23" s="27">
        <v>0.0</v>
      </c>
      <c r="N23" s="28">
        <f t="shared" si="1"/>
        <v>15.5</v>
      </c>
      <c r="O23" s="26" t="b">
        <v>1</v>
      </c>
      <c r="P23" s="26" t="b">
        <v>1</v>
      </c>
      <c r="Q23" s="30" t="b">
        <v>0</v>
      </c>
      <c r="R23" s="26" t="s">
        <v>4</v>
      </c>
      <c r="S23" s="29"/>
      <c r="T23" s="29"/>
      <c r="U23" s="29"/>
    </row>
    <row r="24">
      <c r="A24" s="26" t="s">
        <v>184</v>
      </c>
      <c r="B24" s="26">
        <v>23.0</v>
      </c>
      <c r="C24" s="26" t="s">
        <v>154</v>
      </c>
      <c r="D24" s="26" t="s">
        <v>185</v>
      </c>
      <c r="E24" s="26" t="s">
        <v>186</v>
      </c>
      <c r="F24" s="26" t="s">
        <v>187</v>
      </c>
      <c r="G24" s="26" t="s">
        <v>188</v>
      </c>
      <c r="H24" s="26" t="s">
        <v>189</v>
      </c>
      <c r="I24" s="26" t="s">
        <v>190</v>
      </c>
      <c r="J24" s="26" t="s">
        <v>191</v>
      </c>
      <c r="K24" s="26" t="s">
        <v>192</v>
      </c>
      <c r="L24" s="27">
        <v>15.5</v>
      </c>
      <c r="M24" s="27">
        <v>0.0</v>
      </c>
      <c r="N24" s="28">
        <f t="shared" si="1"/>
        <v>15.5</v>
      </c>
      <c r="O24" s="26" t="b">
        <v>1</v>
      </c>
      <c r="P24" s="26" t="b">
        <v>1</v>
      </c>
      <c r="Q24" s="30" t="b">
        <v>1</v>
      </c>
      <c r="R24" s="26" t="s">
        <v>4</v>
      </c>
      <c r="S24" s="29"/>
      <c r="T24" s="29"/>
      <c r="U24" s="29"/>
    </row>
    <row r="25">
      <c r="A25" s="26" t="s">
        <v>193</v>
      </c>
      <c r="B25" s="26">
        <v>24.0</v>
      </c>
      <c r="C25" s="26" t="s">
        <v>154</v>
      </c>
      <c r="D25" s="26" t="s">
        <v>194</v>
      </c>
      <c r="E25" s="26" t="s">
        <v>195</v>
      </c>
      <c r="F25" s="26" t="s">
        <v>194</v>
      </c>
      <c r="G25" s="26" t="s">
        <v>196</v>
      </c>
      <c r="H25" s="26" t="s">
        <v>194</v>
      </c>
      <c r="I25" s="26" t="s">
        <v>197</v>
      </c>
      <c r="J25" s="26" t="s">
        <v>194</v>
      </c>
      <c r="K25" s="26" t="s">
        <v>198</v>
      </c>
      <c r="L25" s="27">
        <v>17.0</v>
      </c>
      <c r="M25" s="27">
        <v>0.0</v>
      </c>
      <c r="N25" s="28">
        <f t="shared" si="1"/>
        <v>17</v>
      </c>
      <c r="O25" s="26" t="b">
        <v>1</v>
      </c>
      <c r="P25" s="26" t="b">
        <v>1</v>
      </c>
      <c r="Q25" s="26" t="b">
        <v>1</v>
      </c>
      <c r="R25" s="26" t="s">
        <v>4</v>
      </c>
      <c r="S25" s="29"/>
      <c r="T25" s="29"/>
      <c r="U25" s="29"/>
    </row>
    <row r="26">
      <c r="A26" s="26" t="s">
        <v>199</v>
      </c>
      <c r="B26" s="26">
        <v>25.0</v>
      </c>
      <c r="C26" s="26" t="s">
        <v>154</v>
      </c>
      <c r="D26" s="26" t="s">
        <v>200</v>
      </c>
      <c r="E26" s="26" t="s">
        <v>201</v>
      </c>
      <c r="F26" s="26" t="s">
        <v>200</v>
      </c>
      <c r="G26" s="26" t="s">
        <v>202</v>
      </c>
      <c r="H26" s="26" t="s">
        <v>200</v>
      </c>
      <c r="I26" s="26" t="s">
        <v>203</v>
      </c>
      <c r="J26" s="26" t="s">
        <v>200</v>
      </c>
      <c r="K26" s="26" t="s">
        <v>204</v>
      </c>
      <c r="L26" s="27">
        <v>22.0</v>
      </c>
      <c r="M26" s="27">
        <v>0.0</v>
      </c>
      <c r="N26" s="28">
        <f t="shared" si="1"/>
        <v>22</v>
      </c>
      <c r="O26" s="26" t="b">
        <v>1</v>
      </c>
      <c r="P26" s="26" t="b">
        <v>1</v>
      </c>
      <c r="Q26" s="30" t="b">
        <v>0</v>
      </c>
      <c r="R26" s="26" t="s">
        <v>4</v>
      </c>
      <c r="S26" s="29"/>
      <c r="T26" s="29"/>
      <c r="U26" s="29"/>
    </row>
    <row r="27">
      <c r="A27" s="31" t="s">
        <v>205</v>
      </c>
      <c r="B27" s="31">
        <v>26.0</v>
      </c>
      <c r="C27" s="31" t="s">
        <v>206</v>
      </c>
      <c r="D27" s="31" t="s">
        <v>207</v>
      </c>
      <c r="E27" s="31" t="s">
        <v>208</v>
      </c>
      <c r="F27" s="31" t="s">
        <v>209</v>
      </c>
      <c r="G27" s="31" t="s">
        <v>210</v>
      </c>
      <c r="H27" s="31" t="s">
        <v>211</v>
      </c>
      <c r="I27" s="31" t="s">
        <v>212</v>
      </c>
      <c r="J27" s="31" t="s">
        <v>213</v>
      </c>
      <c r="K27" s="31" t="s">
        <v>214</v>
      </c>
      <c r="L27" s="32">
        <v>17.5</v>
      </c>
      <c r="M27" s="32">
        <v>0.0</v>
      </c>
      <c r="N27" s="33">
        <f t="shared" si="1"/>
        <v>17.5</v>
      </c>
      <c r="O27" s="31" t="b">
        <v>1</v>
      </c>
      <c r="P27" s="31" t="b">
        <v>1</v>
      </c>
      <c r="Q27" s="31" t="b">
        <v>1</v>
      </c>
      <c r="R27" s="31" t="s">
        <v>4</v>
      </c>
      <c r="S27" s="34"/>
      <c r="T27" s="34"/>
      <c r="U27" s="34"/>
    </row>
    <row r="28">
      <c r="A28" s="31" t="s">
        <v>215</v>
      </c>
      <c r="B28" s="31">
        <v>27.0</v>
      </c>
      <c r="C28" s="31" t="s">
        <v>206</v>
      </c>
      <c r="D28" s="31" t="s">
        <v>216</v>
      </c>
      <c r="E28" s="31" t="s">
        <v>217</v>
      </c>
      <c r="F28" s="31" t="s">
        <v>216</v>
      </c>
      <c r="G28" s="31" t="s">
        <v>218</v>
      </c>
      <c r="H28" s="31" t="s">
        <v>216</v>
      </c>
      <c r="I28" s="31" t="s">
        <v>219</v>
      </c>
      <c r="J28" s="31" t="s">
        <v>216</v>
      </c>
      <c r="K28" s="31" t="s">
        <v>220</v>
      </c>
      <c r="L28" s="32">
        <v>17.0</v>
      </c>
      <c r="M28" s="32">
        <v>0.0</v>
      </c>
      <c r="N28" s="33">
        <f t="shared" si="1"/>
        <v>17</v>
      </c>
      <c r="O28" s="31" t="b">
        <v>1</v>
      </c>
      <c r="P28" s="31" t="b">
        <v>1</v>
      </c>
      <c r="Q28" s="35" t="b">
        <v>0</v>
      </c>
      <c r="R28" s="31" t="s">
        <v>4</v>
      </c>
      <c r="S28" s="34"/>
      <c r="T28" s="34"/>
      <c r="U28" s="34"/>
    </row>
    <row r="29">
      <c r="A29" s="31" t="s">
        <v>221</v>
      </c>
      <c r="B29" s="31">
        <v>28.0</v>
      </c>
      <c r="C29" s="31" t="s">
        <v>206</v>
      </c>
      <c r="D29" s="31" t="s">
        <v>222</v>
      </c>
      <c r="E29" s="31" t="s">
        <v>223</v>
      </c>
      <c r="F29" s="31" t="s">
        <v>224</v>
      </c>
      <c r="G29" s="31" t="s">
        <v>225</v>
      </c>
      <c r="H29" s="31" t="s">
        <v>226</v>
      </c>
      <c r="I29" s="31" t="s">
        <v>227</v>
      </c>
      <c r="J29" s="31" t="s">
        <v>228</v>
      </c>
      <c r="K29" s="31" t="s">
        <v>229</v>
      </c>
      <c r="L29" s="32">
        <v>13.5</v>
      </c>
      <c r="M29" s="32">
        <v>0.0</v>
      </c>
      <c r="N29" s="33">
        <f t="shared" si="1"/>
        <v>13.5</v>
      </c>
      <c r="O29" s="31" t="b">
        <v>1</v>
      </c>
      <c r="P29" s="31" t="b">
        <v>1</v>
      </c>
      <c r="Q29" s="31" t="b">
        <v>1</v>
      </c>
      <c r="R29" s="31" t="s">
        <v>4</v>
      </c>
      <c r="S29" s="34"/>
      <c r="T29" s="34"/>
      <c r="U29" s="34"/>
    </row>
    <row r="30">
      <c r="A30" s="31" t="s">
        <v>230</v>
      </c>
      <c r="B30" s="31">
        <v>29.0</v>
      </c>
      <c r="C30" s="31" t="s">
        <v>206</v>
      </c>
      <c r="D30" s="31" t="s">
        <v>231</v>
      </c>
      <c r="E30" s="31" t="s">
        <v>232</v>
      </c>
      <c r="F30" s="31" t="s">
        <v>233</v>
      </c>
      <c r="G30" s="31" t="s">
        <v>234</v>
      </c>
      <c r="H30" s="31" t="s">
        <v>235</v>
      </c>
      <c r="I30" s="31" t="s">
        <v>236</v>
      </c>
      <c r="J30" s="31" t="s">
        <v>237</v>
      </c>
      <c r="K30" s="31" t="s">
        <v>238</v>
      </c>
      <c r="L30" s="32">
        <v>16.0</v>
      </c>
      <c r="M30" s="32">
        <v>0.0</v>
      </c>
      <c r="N30" s="33">
        <f t="shared" si="1"/>
        <v>16</v>
      </c>
      <c r="O30" s="31" t="b">
        <v>1</v>
      </c>
      <c r="P30" s="31" t="b">
        <v>1</v>
      </c>
      <c r="Q30" s="31" t="b">
        <v>1</v>
      </c>
      <c r="R30" s="31" t="s">
        <v>4</v>
      </c>
      <c r="S30" s="34"/>
      <c r="T30" s="34"/>
      <c r="U30" s="34"/>
    </row>
    <row r="31">
      <c r="A31" s="31" t="s">
        <v>239</v>
      </c>
      <c r="B31" s="31">
        <v>30.0</v>
      </c>
      <c r="C31" s="31" t="s">
        <v>206</v>
      </c>
      <c r="D31" s="31" t="s">
        <v>240</v>
      </c>
      <c r="E31" s="31" t="s">
        <v>241</v>
      </c>
      <c r="F31" s="31" t="s">
        <v>242</v>
      </c>
      <c r="G31" s="31" t="s">
        <v>243</v>
      </c>
      <c r="H31" s="31" t="s">
        <v>244</v>
      </c>
      <c r="I31" s="31" t="s">
        <v>245</v>
      </c>
      <c r="J31" s="31" t="s">
        <v>246</v>
      </c>
      <c r="K31" s="31" t="s">
        <v>247</v>
      </c>
      <c r="L31" s="32">
        <v>15.5</v>
      </c>
      <c r="M31" s="32">
        <v>0.0</v>
      </c>
      <c r="N31" s="33">
        <f t="shared" si="1"/>
        <v>15.5</v>
      </c>
      <c r="O31" s="31" t="b">
        <v>1</v>
      </c>
      <c r="P31" s="31" t="b">
        <v>1</v>
      </c>
      <c r="Q31" s="31" t="b">
        <v>1</v>
      </c>
      <c r="R31" s="31" t="s">
        <v>4</v>
      </c>
      <c r="S31" s="34"/>
      <c r="T31" s="34"/>
      <c r="U31" s="34"/>
    </row>
    <row r="32">
      <c r="A32" s="31" t="s">
        <v>248</v>
      </c>
      <c r="B32" s="31">
        <v>31.0</v>
      </c>
      <c r="C32" s="31" t="s">
        <v>206</v>
      </c>
      <c r="D32" s="31" t="s">
        <v>249</v>
      </c>
      <c r="E32" s="31" t="s">
        <v>162</v>
      </c>
      <c r="F32" s="31" t="s">
        <v>250</v>
      </c>
      <c r="G32" s="31" t="s">
        <v>163</v>
      </c>
      <c r="H32" s="31" t="s">
        <v>251</v>
      </c>
      <c r="I32" s="31" t="s">
        <v>164</v>
      </c>
      <c r="J32" s="31" t="s">
        <v>252</v>
      </c>
      <c r="K32" s="31" t="s">
        <v>165</v>
      </c>
      <c r="L32" s="32">
        <v>19.0</v>
      </c>
      <c r="M32" s="32">
        <v>0.0</v>
      </c>
      <c r="N32" s="33">
        <f t="shared" si="1"/>
        <v>19</v>
      </c>
      <c r="O32" s="31" t="b">
        <v>1</v>
      </c>
      <c r="P32" s="31" t="b">
        <v>1</v>
      </c>
      <c r="Q32" s="31" t="b">
        <v>1</v>
      </c>
      <c r="R32" s="31" t="s">
        <v>4</v>
      </c>
      <c r="S32" s="34"/>
      <c r="T32" s="34"/>
      <c r="U32" s="34"/>
    </row>
    <row r="33">
      <c r="A33" s="36" t="s">
        <v>253</v>
      </c>
      <c r="B33" s="36">
        <v>32.0</v>
      </c>
      <c r="C33" s="36" t="s">
        <v>254</v>
      </c>
      <c r="D33" s="36" t="s">
        <v>255</v>
      </c>
      <c r="E33" s="36" t="s">
        <v>256</v>
      </c>
      <c r="F33" s="36" t="s">
        <v>255</v>
      </c>
      <c r="G33" s="36" t="s">
        <v>257</v>
      </c>
      <c r="H33" s="36" t="s">
        <v>255</v>
      </c>
      <c r="I33" s="36" t="s">
        <v>257</v>
      </c>
      <c r="J33" s="36" t="s">
        <v>255</v>
      </c>
      <c r="K33" s="36" t="s">
        <v>258</v>
      </c>
      <c r="L33" s="37">
        <v>12.0</v>
      </c>
      <c r="M33" s="37">
        <v>0.0</v>
      </c>
      <c r="N33" s="38">
        <f t="shared" si="1"/>
        <v>12</v>
      </c>
      <c r="O33" s="36" t="b">
        <v>1</v>
      </c>
      <c r="P33" s="36" t="b">
        <v>1</v>
      </c>
      <c r="Q33" s="36" t="b">
        <v>1</v>
      </c>
      <c r="R33" s="36" t="s">
        <v>4</v>
      </c>
      <c r="S33" s="39"/>
      <c r="T33" s="39"/>
      <c r="U33" s="39"/>
    </row>
    <row r="34">
      <c r="A34" s="36" t="s">
        <v>259</v>
      </c>
      <c r="B34" s="36">
        <v>33.0</v>
      </c>
      <c r="C34" s="36" t="s">
        <v>254</v>
      </c>
      <c r="D34" s="36" t="s">
        <v>260</v>
      </c>
      <c r="E34" s="36" t="s">
        <v>261</v>
      </c>
      <c r="F34" s="36" t="s">
        <v>260</v>
      </c>
      <c r="G34" s="36" t="s">
        <v>262</v>
      </c>
      <c r="H34" s="36" t="s">
        <v>260</v>
      </c>
      <c r="I34" s="36" t="s">
        <v>263</v>
      </c>
      <c r="J34" s="36" t="s">
        <v>260</v>
      </c>
      <c r="K34" s="36" t="s">
        <v>264</v>
      </c>
      <c r="L34" s="37">
        <v>14.5</v>
      </c>
      <c r="M34" s="37">
        <v>0.0</v>
      </c>
      <c r="N34" s="38">
        <f t="shared" si="1"/>
        <v>14.5</v>
      </c>
      <c r="O34" s="36" t="b">
        <v>1</v>
      </c>
      <c r="P34" s="36" t="b">
        <v>1</v>
      </c>
      <c r="Q34" s="36" t="b">
        <v>1</v>
      </c>
      <c r="R34" s="36" t="s">
        <v>4</v>
      </c>
      <c r="S34" s="39"/>
      <c r="T34" s="39"/>
      <c r="U34" s="39"/>
    </row>
    <row r="35">
      <c r="A35" s="36" t="s">
        <v>265</v>
      </c>
      <c r="B35" s="36">
        <v>34.0</v>
      </c>
      <c r="C35" s="36" t="s">
        <v>254</v>
      </c>
      <c r="D35" s="36" t="s">
        <v>266</v>
      </c>
      <c r="E35" s="36" t="s">
        <v>267</v>
      </c>
      <c r="F35" s="36" t="s">
        <v>266</v>
      </c>
      <c r="G35" s="36" t="s">
        <v>268</v>
      </c>
      <c r="H35" s="36" t="s">
        <v>266</v>
      </c>
      <c r="I35" s="36" t="s">
        <v>269</v>
      </c>
      <c r="J35" s="36" t="s">
        <v>266</v>
      </c>
      <c r="K35" s="36" t="s">
        <v>270</v>
      </c>
      <c r="L35" s="37">
        <v>15.0</v>
      </c>
      <c r="M35" s="37">
        <v>0.0</v>
      </c>
      <c r="N35" s="38">
        <f t="shared" si="1"/>
        <v>15</v>
      </c>
      <c r="O35" s="36" t="b">
        <v>1</v>
      </c>
      <c r="P35" s="36" t="b">
        <v>1</v>
      </c>
      <c r="Q35" s="36" t="b">
        <v>1</v>
      </c>
      <c r="R35" s="36" t="s">
        <v>4</v>
      </c>
      <c r="S35" s="39"/>
      <c r="T35" s="39"/>
      <c r="U35" s="39"/>
    </row>
    <row r="36">
      <c r="A36" s="36" t="s">
        <v>271</v>
      </c>
      <c r="B36" s="36">
        <v>35.0</v>
      </c>
      <c r="C36" s="36" t="s">
        <v>254</v>
      </c>
      <c r="D36" s="36" t="s">
        <v>272</v>
      </c>
      <c r="E36" s="36" t="s">
        <v>273</v>
      </c>
      <c r="F36" s="36" t="s">
        <v>272</v>
      </c>
      <c r="G36" s="36" t="s">
        <v>274</v>
      </c>
      <c r="H36" s="36" t="s">
        <v>272</v>
      </c>
      <c r="I36" s="36" t="s">
        <v>275</v>
      </c>
      <c r="J36" s="36" t="s">
        <v>272</v>
      </c>
      <c r="K36" s="36" t="s">
        <v>276</v>
      </c>
      <c r="L36" s="37">
        <v>17.0</v>
      </c>
      <c r="M36" s="37">
        <v>0.0</v>
      </c>
      <c r="N36" s="38">
        <f t="shared" si="1"/>
        <v>17</v>
      </c>
      <c r="O36" s="36" t="b">
        <v>1</v>
      </c>
      <c r="P36" s="36" t="b">
        <v>1</v>
      </c>
      <c r="Q36" s="36" t="b">
        <v>1</v>
      </c>
      <c r="R36" s="36" t="s">
        <v>4</v>
      </c>
      <c r="S36" s="39"/>
      <c r="T36" s="39"/>
      <c r="U36" s="39"/>
    </row>
    <row r="37">
      <c r="A37" s="36" t="s">
        <v>277</v>
      </c>
      <c r="B37" s="36">
        <v>36.0</v>
      </c>
      <c r="C37" s="36" t="s">
        <v>254</v>
      </c>
      <c r="D37" s="36" t="s">
        <v>278</v>
      </c>
      <c r="E37" s="36" t="s">
        <v>279</v>
      </c>
      <c r="F37" s="36" t="s">
        <v>278</v>
      </c>
      <c r="G37" s="36" t="s">
        <v>280</v>
      </c>
      <c r="H37" s="36" t="s">
        <v>278</v>
      </c>
      <c r="I37" s="36" t="s">
        <v>281</v>
      </c>
      <c r="J37" s="36" t="s">
        <v>278</v>
      </c>
      <c r="K37" s="36" t="s">
        <v>282</v>
      </c>
      <c r="L37" s="37">
        <v>15.5</v>
      </c>
      <c r="M37" s="37">
        <v>0.0</v>
      </c>
      <c r="N37" s="38">
        <f t="shared" si="1"/>
        <v>15.5</v>
      </c>
      <c r="O37" s="36" t="b">
        <v>1</v>
      </c>
      <c r="P37" s="36" t="b">
        <v>1</v>
      </c>
      <c r="Q37" s="36" t="b">
        <v>1</v>
      </c>
      <c r="R37" s="36" t="s">
        <v>4</v>
      </c>
      <c r="S37" s="39"/>
      <c r="T37" s="39"/>
      <c r="U37" s="39"/>
    </row>
    <row r="38">
      <c r="A38" s="36" t="s">
        <v>283</v>
      </c>
      <c r="B38" s="36">
        <v>37.0</v>
      </c>
      <c r="C38" s="36" t="s">
        <v>254</v>
      </c>
      <c r="D38" s="36" t="s">
        <v>284</v>
      </c>
      <c r="E38" s="36" t="s">
        <v>285</v>
      </c>
      <c r="F38" s="36" t="s">
        <v>284</v>
      </c>
      <c r="G38" s="36" t="s">
        <v>286</v>
      </c>
      <c r="H38" s="36" t="s">
        <v>284</v>
      </c>
      <c r="I38" s="36" t="s">
        <v>287</v>
      </c>
      <c r="J38" s="36" t="s">
        <v>284</v>
      </c>
      <c r="K38" s="36" t="s">
        <v>288</v>
      </c>
      <c r="L38" s="37">
        <v>15.5</v>
      </c>
      <c r="M38" s="37">
        <v>0.0</v>
      </c>
      <c r="N38" s="38">
        <f t="shared" si="1"/>
        <v>15.5</v>
      </c>
      <c r="O38" s="36" t="b">
        <v>1</v>
      </c>
      <c r="P38" s="36" t="b">
        <v>1</v>
      </c>
      <c r="Q38" s="36" t="b">
        <v>1</v>
      </c>
      <c r="R38" s="36" t="s">
        <v>4</v>
      </c>
      <c r="S38" s="39"/>
      <c r="T38" s="39"/>
      <c r="U38" s="39"/>
    </row>
    <row r="39">
      <c r="A39" s="36" t="s">
        <v>289</v>
      </c>
      <c r="B39" s="36">
        <v>38.0</v>
      </c>
      <c r="C39" s="36" t="s">
        <v>254</v>
      </c>
      <c r="D39" s="36" t="s">
        <v>290</v>
      </c>
      <c r="E39" s="36" t="s">
        <v>291</v>
      </c>
      <c r="F39" s="36" t="s">
        <v>292</v>
      </c>
      <c r="G39" s="36" t="s">
        <v>293</v>
      </c>
      <c r="H39" s="36" t="s">
        <v>294</v>
      </c>
      <c r="I39" s="36" t="s">
        <v>295</v>
      </c>
      <c r="J39" s="36" t="s">
        <v>296</v>
      </c>
      <c r="K39" s="36" t="s">
        <v>297</v>
      </c>
      <c r="L39" s="37">
        <v>18.0</v>
      </c>
      <c r="M39" s="37">
        <v>0.0</v>
      </c>
      <c r="N39" s="38">
        <f t="shared" si="1"/>
        <v>18</v>
      </c>
      <c r="O39" s="36" t="b">
        <v>1</v>
      </c>
      <c r="P39" s="36" t="b">
        <v>1</v>
      </c>
      <c r="Q39" s="40" t="b">
        <v>0</v>
      </c>
      <c r="R39" s="36" t="s">
        <v>4</v>
      </c>
      <c r="S39" s="39"/>
      <c r="T39" s="39"/>
      <c r="U39" s="39"/>
    </row>
    <row r="40">
      <c r="A40" s="36" t="s">
        <v>298</v>
      </c>
      <c r="B40" s="36">
        <v>39.0</v>
      </c>
      <c r="C40" s="36" t="s">
        <v>254</v>
      </c>
      <c r="D40" s="36" t="s">
        <v>299</v>
      </c>
      <c r="E40" s="36" t="s">
        <v>300</v>
      </c>
      <c r="F40" s="36" t="s">
        <v>299</v>
      </c>
      <c r="G40" s="36" t="s">
        <v>301</v>
      </c>
      <c r="H40" s="36" t="s">
        <v>299</v>
      </c>
      <c r="I40" s="36" t="s">
        <v>302</v>
      </c>
      <c r="J40" s="36" t="s">
        <v>299</v>
      </c>
      <c r="K40" s="36" t="s">
        <v>303</v>
      </c>
      <c r="L40" s="37">
        <v>18.5</v>
      </c>
      <c r="M40" s="37">
        <v>0.0</v>
      </c>
      <c r="N40" s="38">
        <f t="shared" si="1"/>
        <v>18.5</v>
      </c>
      <c r="O40" s="36" t="b">
        <v>1</v>
      </c>
      <c r="P40" s="36" t="b">
        <v>1</v>
      </c>
      <c r="Q40" s="36" t="b">
        <v>1</v>
      </c>
      <c r="R40" s="36" t="s">
        <v>4</v>
      </c>
      <c r="S40" s="39"/>
      <c r="T40" s="39"/>
      <c r="U40" s="39"/>
    </row>
    <row r="41">
      <c r="A41" s="36" t="s">
        <v>304</v>
      </c>
      <c r="B41" s="36">
        <v>40.0</v>
      </c>
      <c r="C41" s="36" t="s">
        <v>254</v>
      </c>
      <c r="D41" s="36" t="s">
        <v>305</v>
      </c>
      <c r="E41" s="36" t="s">
        <v>306</v>
      </c>
      <c r="F41" s="36" t="s">
        <v>307</v>
      </c>
      <c r="G41" s="36" t="s">
        <v>308</v>
      </c>
      <c r="H41" s="36" t="s">
        <v>309</v>
      </c>
      <c r="I41" s="36" t="s">
        <v>310</v>
      </c>
      <c r="J41" s="36" t="s">
        <v>311</v>
      </c>
      <c r="K41" s="36" t="s">
        <v>312</v>
      </c>
      <c r="L41" s="37">
        <v>16.0</v>
      </c>
      <c r="M41" s="37">
        <v>0.0</v>
      </c>
      <c r="N41" s="38">
        <f t="shared" si="1"/>
        <v>16</v>
      </c>
      <c r="O41" s="36" t="b">
        <v>1</v>
      </c>
      <c r="P41" s="36" t="b">
        <v>1</v>
      </c>
      <c r="Q41" s="36" t="b">
        <v>1</v>
      </c>
      <c r="R41" s="36" t="s">
        <v>4</v>
      </c>
      <c r="S41" s="39"/>
      <c r="T41" s="39"/>
      <c r="U41" s="39"/>
    </row>
    <row r="42">
      <c r="A42" s="36" t="s">
        <v>313</v>
      </c>
      <c r="B42" s="36">
        <v>41.0</v>
      </c>
      <c r="C42" s="36" t="s">
        <v>254</v>
      </c>
      <c r="D42" s="36" t="s">
        <v>88</v>
      </c>
      <c r="E42" s="36" t="s">
        <v>314</v>
      </c>
      <c r="F42" s="36" t="s">
        <v>88</v>
      </c>
      <c r="G42" s="36" t="s">
        <v>315</v>
      </c>
      <c r="H42" s="36" t="s">
        <v>88</v>
      </c>
      <c r="I42" s="36" t="s">
        <v>316</v>
      </c>
      <c r="J42" s="36" t="s">
        <v>88</v>
      </c>
      <c r="K42" s="36" t="s">
        <v>317</v>
      </c>
      <c r="L42" s="37">
        <v>17.5</v>
      </c>
      <c r="M42" s="37">
        <v>0.0</v>
      </c>
      <c r="N42" s="38">
        <f t="shared" si="1"/>
        <v>17.5</v>
      </c>
      <c r="O42" s="36" t="b">
        <v>1</v>
      </c>
      <c r="P42" s="36" t="b">
        <v>1</v>
      </c>
      <c r="Q42" s="36" t="b">
        <v>1</v>
      </c>
      <c r="R42" s="36" t="s">
        <v>4</v>
      </c>
      <c r="S42" s="39"/>
      <c r="T42" s="39"/>
      <c r="U42" s="39"/>
    </row>
    <row r="43">
      <c r="A43" s="36" t="s">
        <v>318</v>
      </c>
      <c r="B43" s="36">
        <v>42.0</v>
      </c>
      <c r="C43" s="36" t="s">
        <v>254</v>
      </c>
      <c r="D43" s="36" t="s">
        <v>319</v>
      </c>
      <c r="E43" s="36" t="s">
        <v>320</v>
      </c>
      <c r="F43" s="36" t="s">
        <v>319</v>
      </c>
      <c r="G43" s="36" t="s">
        <v>321</v>
      </c>
      <c r="H43" s="36" t="s">
        <v>319</v>
      </c>
      <c r="I43" s="36" t="s">
        <v>322</v>
      </c>
      <c r="J43" s="36" t="s">
        <v>319</v>
      </c>
      <c r="K43" s="36" t="s">
        <v>323</v>
      </c>
      <c r="L43" s="37">
        <v>18.0</v>
      </c>
      <c r="M43" s="37">
        <v>0.0</v>
      </c>
      <c r="N43" s="38">
        <f t="shared" si="1"/>
        <v>18</v>
      </c>
      <c r="O43" s="36" t="b">
        <v>1</v>
      </c>
      <c r="P43" s="36" t="b">
        <v>1</v>
      </c>
      <c r="Q43" s="36" t="b">
        <v>1</v>
      </c>
      <c r="R43" s="36" t="s">
        <v>4</v>
      </c>
      <c r="S43" s="39"/>
      <c r="T43" s="39"/>
      <c r="U43" s="39"/>
    </row>
    <row r="44">
      <c r="A44" s="36" t="s">
        <v>324</v>
      </c>
      <c r="B44" s="36">
        <v>43.0</v>
      </c>
      <c r="C44" s="36" t="s">
        <v>254</v>
      </c>
      <c r="D44" s="36" t="s">
        <v>325</v>
      </c>
      <c r="E44" s="36" t="s">
        <v>326</v>
      </c>
      <c r="F44" s="36" t="s">
        <v>325</v>
      </c>
      <c r="G44" s="36" t="s">
        <v>327</v>
      </c>
      <c r="H44" s="36" t="s">
        <v>325</v>
      </c>
      <c r="I44" s="36" t="s">
        <v>328</v>
      </c>
      <c r="J44" s="36" t="s">
        <v>325</v>
      </c>
      <c r="K44" s="36" t="s">
        <v>329</v>
      </c>
      <c r="L44" s="37">
        <v>16.5</v>
      </c>
      <c r="M44" s="37">
        <v>0.0</v>
      </c>
      <c r="N44" s="38">
        <f t="shared" si="1"/>
        <v>16.5</v>
      </c>
      <c r="O44" s="36" t="b">
        <v>1</v>
      </c>
      <c r="P44" s="36" t="b">
        <v>1</v>
      </c>
      <c r="Q44" s="36" t="b">
        <v>1</v>
      </c>
      <c r="R44" s="36" t="s">
        <v>4</v>
      </c>
      <c r="S44" s="39"/>
      <c r="T44" s="39"/>
      <c r="U44" s="39"/>
    </row>
    <row r="45">
      <c r="A45" s="2" t="s">
        <v>330</v>
      </c>
      <c r="B45" s="2">
        <v>44.0</v>
      </c>
      <c r="C45" s="2" t="s">
        <v>331</v>
      </c>
      <c r="D45" s="2" t="s">
        <v>332</v>
      </c>
      <c r="E45" s="2" t="s">
        <v>333</v>
      </c>
      <c r="F45" s="2" t="s">
        <v>332</v>
      </c>
      <c r="G45" s="2" t="s">
        <v>334</v>
      </c>
      <c r="H45" s="2" t="s">
        <v>332</v>
      </c>
      <c r="I45" s="2" t="s">
        <v>335</v>
      </c>
      <c r="J45" s="2" t="s">
        <v>332</v>
      </c>
      <c r="K45" s="2" t="s">
        <v>336</v>
      </c>
      <c r="L45" s="41">
        <v>15.5</v>
      </c>
      <c r="M45" s="41">
        <v>0.0</v>
      </c>
      <c r="N45" s="9">
        <f t="shared" si="1"/>
        <v>15.5</v>
      </c>
      <c r="O45" s="2" t="b">
        <v>1</v>
      </c>
      <c r="P45" s="2" t="b">
        <v>1</v>
      </c>
      <c r="Q45" s="2" t="b">
        <v>1</v>
      </c>
      <c r="R45" s="2" t="s">
        <v>4</v>
      </c>
    </row>
    <row r="46">
      <c r="A46" s="2" t="s">
        <v>337</v>
      </c>
      <c r="B46" s="2">
        <v>45.0</v>
      </c>
      <c r="C46" s="2" t="s">
        <v>331</v>
      </c>
      <c r="D46" s="2" t="s">
        <v>338</v>
      </c>
      <c r="E46" s="2" t="s">
        <v>339</v>
      </c>
      <c r="F46" s="2" t="s">
        <v>340</v>
      </c>
      <c r="G46" s="2" t="s">
        <v>341</v>
      </c>
      <c r="H46" s="2" t="s">
        <v>342</v>
      </c>
      <c r="I46" s="2" t="s">
        <v>343</v>
      </c>
      <c r="J46" s="2" t="s">
        <v>344</v>
      </c>
      <c r="K46" s="2" t="s">
        <v>345</v>
      </c>
      <c r="L46" s="41">
        <v>16.5</v>
      </c>
      <c r="M46" s="41">
        <v>0.0</v>
      </c>
      <c r="N46" s="9">
        <f t="shared" si="1"/>
        <v>16.5</v>
      </c>
      <c r="O46" s="2" t="b">
        <v>1</v>
      </c>
      <c r="P46" s="2" t="b">
        <v>1</v>
      </c>
      <c r="Q46" s="2" t="b">
        <v>1</v>
      </c>
      <c r="R46" s="2" t="s">
        <v>4</v>
      </c>
    </row>
    <row r="47">
      <c r="A47" s="2" t="s">
        <v>346</v>
      </c>
      <c r="B47" s="2">
        <v>46.0</v>
      </c>
      <c r="C47" s="2" t="s">
        <v>331</v>
      </c>
      <c r="D47" s="2" t="s">
        <v>347</v>
      </c>
      <c r="E47" s="2" t="s">
        <v>348</v>
      </c>
      <c r="F47" s="2" t="s">
        <v>347</v>
      </c>
      <c r="G47" s="2" t="s">
        <v>349</v>
      </c>
      <c r="H47" s="2" t="s">
        <v>347</v>
      </c>
      <c r="I47" s="2" t="s">
        <v>350</v>
      </c>
      <c r="J47" s="2" t="s">
        <v>347</v>
      </c>
      <c r="K47" s="2" t="s">
        <v>351</v>
      </c>
      <c r="L47" s="41">
        <v>18.0</v>
      </c>
      <c r="M47" s="41">
        <v>0.0</v>
      </c>
      <c r="N47" s="9">
        <f t="shared" si="1"/>
        <v>18</v>
      </c>
      <c r="O47" s="2" t="b">
        <v>1</v>
      </c>
      <c r="P47" s="2" t="b">
        <v>1</v>
      </c>
      <c r="Q47" s="5" t="b">
        <v>0</v>
      </c>
      <c r="R47" s="2" t="s">
        <v>4</v>
      </c>
    </row>
    <row r="48">
      <c r="A48" s="2" t="s">
        <v>352</v>
      </c>
      <c r="B48" s="2">
        <v>47.0</v>
      </c>
      <c r="C48" s="2" t="s">
        <v>331</v>
      </c>
      <c r="D48" s="2" t="s">
        <v>353</v>
      </c>
      <c r="E48" s="2" t="s">
        <v>354</v>
      </c>
      <c r="F48" s="2" t="s">
        <v>353</v>
      </c>
      <c r="G48" s="2" t="s">
        <v>355</v>
      </c>
      <c r="H48" s="2" t="s">
        <v>353</v>
      </c>
      <c r="I48" s="2" t="s">
        <v>356</v>
      </c>
      <c r="J48" s="2" t="s">
        <v>353</v>
      </c>
      <c r="K48" s="2" t="s">
        <v>357</v>
      </c>
      <c r="L48" s="41">
        <v>16.0</v>
      </c>
      <c r="M48" s="41">
        <v>0.0</v>
      </c>
      <c r="N48" s="9">
        <f t="shared" si="1"/>
        <v>16</v>
      </c>
      <c r="O48" s="2" t="b">
        <v>1</v>
      </c>
      <c r="P48" s="2" t="b">
        <v>1</v>
      </c>
      <c r="Q48" s="2" t="b">
        <v>1</v>
      </c>
      <c r="R48" s="2" t="s">
        <v>4</v>
      </c>
    </row>
    <row r="49">
      <c r="A49" s="42" t="s">
        <v>358</v>
      </c>
      <c r="B49" s="42">
        <v>48.0</v>
      </c>
      <c r="C49" s="42" t="s">
        <v>359</v>
      </c>
      <c r="D49" s="42" t="s">
        <v>360</v>
      </c>
      <c r="E49" s="42" t="s">
        <v>4</v>
      </c>
      <c r="F49" s="42" t="s">
        <v>361</v>
      </c>
      <c r="G49" s="42" t="s">
        <v>4</v>
      </c>
      <c r="H49" s="42" t="s">
        <v>362</v>
      </c>
      <c r="I49" s="42" t="s">
        <v>4</v>
      </c>
      <c r="J49" s="42" t="s">
        <v>363</v>
      </c>
      <c r="K49" s="42" t="s">
        <v>4</v>
      </c>
      <c r="L49" s="43">
        <v>7.0</v>
      </c>
      <c r="M49" s="43">
        <v>0.0</v>
      </c>
      <c r="N49" s="44">
        <f t="shared" si="1"/>
        <v>7</v>
      </c>
      <c r="O49" s="42" t="b">
        <v>1</v>
      </c>
      <c r="P49" s="42" t="b">
        <v>1</v>
      </c>
      <c r="Q49" s="42" t="b">
        <v>1</v>
      </c>
      <c r="R49" s="42" t="s">
        <v>4</v>
      </c>
      <c r="S49" s="45"/>
      <c r="T49" s="45"/>
      <c r="U49" s="45"/>
    </row>
    <row r="50">
      <c r="A50" s="42" t="s">
        <v>364</v>
      </c>
      <c r="B50" s="42">
        <v>49.0</v>
      </c>
      <c r="C50" s="42" t="s">
        <v>359</v>
      </c>
      <c r="D50" s="42" t="s">
        <v>365</v>
      </c>
      <c r="E50" s="42" t="s">
        <v>4</v>
      </c>
      <c r="F50" s="42" t="s">
        <v>366</v>
      </c>
      <c r="G50" s="42" t="s">
        <v>4</v>
      </c>
      <c r="H50" s="42" t="s">
        <v>367</v>
      </c>
      <c r="I50" s="42" t="s">
        <v>4</v>
      </c>
      <c r="J50" s="42" t="s">
        <v>368</v>
      </c>
      <c r="K50" s="42" t="s">
        <v>4</v>
      </c>
      <c r="L50" s="43">
        <v>8.0</v>
      </c>
      <c r="M50" s="43">
        <v>0.0</v>
      </c>
      <c r="N50" s="44">
        <f t="shared" si="1"/>
        <v>8</v>
      </c>
      <c r="O50" s="42" t="b">
        <v>1</v>
      </c>
      <c r="P50" s="42" t="b">
        <v>1</v>
      </c>
      <c r="Q50" s="42" t="b">
        <v>1</v>
      </c>
      <c r="R50" s="42" t="s">
        <v>4</v>
      </c>
      <c r="S50" s="45"/>
      <c r="T50" s="45"/>
      <c r="U50" s="45"/>
    </row>
    <row r="51">
      <c r="A51" s="42" t="s">
        <v>369</v>
      </c>
      <c r="B51" s="42">
        <v>50.0</v>
      </c>
      <c r="C51" s="42" t="s">
        <v>359</v>
      </c>
      <c r="D51" s="42" t="s">
        <v>370</v>
      </c>
      <c r="E51" s="42" t="s">
        <v>4</v>
      </c>
      <c r="F51" s="42" t="s">
        <v>371</v>
      </c>
      <c r="G51" s="42" t="s">
        <v>4</v>
      </c>
      <c r="H51" s="42" t="s">
        <v>372</v>
      </c>
      <c r="I51" s="42" t="s">
        <v>4</v>
      </c>
      <c r="J51" s="42" t="s">
        <v>373</v>
      </c>
      <c r="K51" s="42" t="s">
        <v>4</v>
      </c>
      <c r="L51" s="43">
        <v>5.0</v>
      </c>
      <c r="M51" s="43">
        <v>0.0</v>
      </c>
      <c r="N51" s="44">
        <f t="shared" si="1"/>
        <v>5</v>
      </c>
      <c r="O51" s="42" t="b">
        <v>1</v>
      </c>
      <c r="P51" s="42" t="b">
        <v>1</v>
      </c>
      <c r="Q51" s="46" t="b">
        <v>0</v>
      </c>
      <c r="R51" s="42" t="s">
        <v>4</v>
      </c>
      <c r="S51" s="45"/>
      <c r="T51" s="45"/>
      <c r="U51" s="45"/>
    </row>
    <row r="52">
      <c r="A52" s="42" t="s">
        <v>374</v>
      </c>
      <c r="B52" s="42">
        <v>51.0</v>
      </c>
      <c r="C52" s="42" t="s">
        <v>359</v>
      </c>
      <c r="D52" s="42" t="s">
        <v>375</v>
      </c>
      <c r="E52" s="42" t="s">
        <v>376</v>
      </c>
      <c r="F52" s="42" t="s">
        <v>375</v>
      </c>
      <c r="G52" s="42" t="s">
        <v>377</v>
      </c>
      <c r="H52" s="42" t="s">
        <v>375</v>
      </c>
      <c r="I52" s="42" t="s">
        <v>378</v>
      </c>
      <c r="J52" s="42" t="s">
        <v>375</v>
      </c>
      <c r="K52" s="42" t="s">
        <v>379</v>
      </c>
      <c r="L52" s="43">
        <v>6.5</v>
      </c>
      <c r="M52" s="43">
        <v>0.0</v>
      </c>
      <c r="N52" s="44">
        <f t="shared" si="1"/>
        <v>6.5</v>
      </c>
      <c r="O52" s="42" t="b">
        <v>1</v>
      </c>
      <c r="P52" s="42" t="b">
        <v>1</v>
      </c>
      <c r="Q52" s="42" t="b">
        <v>1</v>
      </c>
      <c r="R52" s="42" t="s">
        <v>4</v>
      </c>
      <c r="S52" s="45"/>
      <c r="T52" s="45"/>
      <c r="U52" s="45"/>
    </row>
    <row r="53">
      <c r="A53" s="42" t="s">
        <v>380</v>
      </c>
      <c r="B53" s="42">
        <v>52.0</v>
      </c>
      <c r="C53" s="42" t="s">
        <v>359</v>
      </c>
      <c r="D53" s="42" t="s">
        <v>381</v>
      </c>
      <c r="E53" s="42" t="s">
        <v>4</v>
      </c>
      <c r="F53" s="42" t="s">
        <v>382</v>
      </c>
      <c r="G53" s="42" t="s">
        <v>4</v>
      </c>
      <c r="H53" s="42" t="s">
        <v>383</v>
      </c>
      <c r="I53" s="42" t="s">
        <v>4</v>
      </c>
      <c r="J53" s="42" t="s">
        <v>384</v>
      </c>
      <c r="K53" s="42" t="s">
        <v>4</v>
      </c>
      <c r="L53" s="43">
        <v>5.0</v>
      </c>
      <c r="M53" s="43">
        <v>0.0</v>
      </c>
      <c r="N53" s="44">
        <f t="shared" si="1"/>
        <v>5</v>
      </c>
      <c r="O53" s="42" t="b">
        <v>1</v>
      </c>
      <c r="P53" s="42" t="b">
        <v>1</v>
      </c>
      <c r="Q53" s="42" t="b">
        <v>1</v>
      </c>
      <c r="R53" s="42" t="s">
        <v>4</v>
      </c>
      <c r="S53" s="45"/>
      <c r="T53" s="45"/>
      <c r="U53" s="45"/>
    </row>
    <row r="54">
      <c r="A54" s="42" t="s">
        <v>385</v>
      </c>
      <c r="B54" s="42">
        <v>53.0</v>
      </c>
      <c r="C54" s="42" t="s">
        <v>359</v>
      </c>
      <c r="D54" s="42" t="s">
        <v>386</v>
      </c>
      <c r="E54" s="42" t="s">
        <v>4</v>
      </c>
      <c r="F54" s="42" t="s">
        <v>387</v>
      </c>
      <c r="G54" s="42" t="s">
        <v>4</v>
      </c>
      <c r="H54" s="42" t="s">
        <v>388</v>
      </c>
      <c r="I54" s="42" t="s">
        <v>4</v>
      </c>
      <c r="J54" s="42" t="s">
        <v>389</v>
      </c>
      <c r="K54" s="42" t="s">
        <v>4</v>
      </c>
      <c r="L54" s="43">
        <v>12.5</v>
      </c>
      <c r="M54" s="43">
        <v>0.0</v>
      </c>
      <c r="N54" s="44">
        <f t="shared" si="1"/>
        <v>12.5</v>
      </c>
      <c r="O54" s="42" t="b">
        <v>1</v>
      </c>
      <c r="P54" s="42" t="b">
        <v>1</v>
      </c>
      <c r="Q54" s="46" t="b">
        <v>0</v>
      </c>
      <c r="R54" s="42" t="s">
        <v>4</v>
      </c>
      <c r="S54" s="45"/>
      <c r="T54" s="45"/>
      <c r="U54" s="45"/>
    </row>
    <row r="55">
      <c r="A55" s="42" t="s">
        <v>390</v>
      </c>
      <c r="B55" s="42">
        <v>54.0</v>
      </c>
      <c r="C55" s="42" t="s">
        <v>359</v>
      </c>
      <c r="D55" s="42" t="s">
        <v>391</v>
      </c>
      <c r="E55" s="42" t="s">
        <v>4</v>
      </c>
      <c r="F55" s="42" t="s">
        <v>392</v>
      </c>
      <c r="G55" s="42" t="s">
        <v>4</v>
      </c>
      <c r="H55" s="42" t="s">
        <v>393</v>
      </c>
      <c r="I55" s="42" t="s">
        <v>4</v>
      </c>
      <c r="J55" s="42" t="s">
        <v>394</v>
      </c>
      <c r="K55" s="42" t="s">
        <v>4</v>
      </c>
      <c r="L55" s="43">
        <v>10.0</v>
      </c>
      <c r="M55" s="43">
        <v>0.0</v>
      </c>
      <c r="N55" s="44">
        <f t="shared" si="1"/>
        <v>10</v>
      </c>
      <c r="O55" s="42" t="b">
        <v>1</v>
      </c>
      <c r="P55" s="42" t="b">
        <v>1</v>
      </c>
      <c r="Q55" s="42" t="b">
        <v>1</v>
      </c>
      <c r="R55" s="42" t="s">
        <v>4</v>
      </c>
      <c r="S55" s="45"/>
      <c r="T55" s="45"/>
      <c r="U55" s="45"/>
    </row>
    <row r="56">
      <c r="A56" s="42" t="s">
        <v>395</v>
      </c>
      <c r="B56" s="42">
        <v>55.0</v>
      </c>
      <c r="C56" s="42" t="s">
        <v>359</v>
      </c>
      <c r="D56" s="42" t="s">
        <v>396</v>
      </c>
      <c r="E56" s="42" t="s">
        <v>4</v>
      </c>
      <c r="F56" s="42" t="s">
        <v>397</v>
      </c>
      <c r="G56" s="42" t="s">
        <v>4</v>
      </c>
      <c r="H56" s="42" t="s">
        <v>398</v>
      </c>
      <c r="I56" s="42" t="s">
        <v>4</v>
      </c>
      <c r="J56" s="42" t="s">
        <v>399</v>
      </c>
      <c r="K56" s="42" t="s">
        <v>4</v>
      </c>
      <c r="L56" s="43">
        <v>6.5</v>
      </c>
      <c r="M56" s="43">
        <v>0.0</v>
      </c>
      <c r="N56" s="44">
        <f t="shared" si="1"/>
        <v>6.5</v>
      </c>
      <c r="O56" s="42" t="b">
        <v>1</v>
      </c>
      <c r="P56" s="42" t="b">
        <v>1</v>
      </c>
      <c r="Q56" s="46" t="b">
        <v>0</v>
      </c>
      <c r="R56" s="42" t="s">
        <v>4</v>
      </c>
      <c r="S56" s="45"/>
      <c r="T56" s="45"/>
      <c r="U56" s="45"/>
    </row>
    <row r="57">
      <c r="A57" s="42" t="s">
        <v>400</v>
      </c>
      <c r="B57" s="42">
        <v>56.0</v>
      </c>
      <c r="C57" s="42" t="s">
        <v>359</v>
      </c>
      <c r="D57" s="42" t="s">
        <v>401</v>
      </c>
      <c r="E57" s="42" t="s">
        <v>4</v>
      </c>
      <c r="F57" s="42" t="s">
        <v>402</v>
      </c>
      <c r="G57" s="42" t="s">
        <v>4</v>
      </c>
      <c r="H57" s="42" t="s">
        <v>403</v>
      </c>
      <c r="I57" s="42" t="s">
        <v>4</v>
      </c>
      <c r="J57" s="42" t="s">
        <v>404</v>
      </c>
      <c r="K57" s="42" t="s">
        <v>4</v>
      </c>
      <c r="L57" s="43">
        <v>8.5</v>
      </c>
      <c r="M57" s="43">
        <v>0.0</v>
      </c>
      <c r="N57" s="44">
        <f t="shared" si="1"/>
        <v>8.5</v>
      </c>
      <c r="O57" s="42" t="b">
        <v>1</v>
      </c>
      <c r="P57" s="42" t="b">
        <v>1</v>
      </c>
      <c r="Q57" s="46" t="b">
        <v>0</v>
      </c>
      <c r="R57" s="42" t="s">
        <v>4</v>
      </c>
      <c r="S57" s="45"/>
      <c r="T57" s="45"/>
      <c r="U57" s="45"/>
    </row>
    <row r="58">
      <c r="A58" s="47" t="s">
        <v>405</v>
      </c>
      <c r="B58" s="47">
        <v>57.0</v>
      </c>
      <c r="C58" s="47" t="s">
        <v>406</v>
      </c>
      <c r="D58" s="47" t="s">
        <v>407</v>
      </c>
      <c r="E58" s="47" t="s">
        <v>4</v>
      </c>
      <c r="F58" s="47" t="s">
        <v>408</v>
      </c>
      <c r="G58" s="47" t="s">
        <v>4</v>
      </c>
      <c r="H58" s="47" t="s">
        <v>409</v>
      </c>
      <c r="I58" s="47" t="s">
        <v>4</v>
      </c>
      <c r="J58" s="47" t="s">
        <v>410</v>
      </c>
      <c r="K58" s="47" t="s">
        <v>4</v>
      </c>
      <c r="L58" s="48">
        <v>1.5</v>
      </c>
      <c r="M58" s="48">
        <v>0.0</v>
      </c>
      <c r="N58" s="49">
        <f t="shared" si="1"/>
        <v>1.5</v>
      </c>
      <c r="O58" s="47" t="b">
        <v>1</v>
      </c>
      <c r="P58" s="50" t="b">
        <v>1</v>
      </c>
      <c r="Q58" s="47" t="b">
        <v>0</v>
      </c>
      <c r="R58" s="47" t="s">
        <v>4</v>
      </c>
      <c r="S58" s="51"/>
      <c r="T58" s="51"/>
      <c r="U58" s="51"/>
    </row>
    <row r="59">
      <c r="A59" s="47" t="s">
        <v>411</v>
      </c>
      <c r="B59" s="47">
        <v>58.0</v>
      </c>
      <c r="C59" s="47" t="s">
        <v>406</v>
      </c>
      <c r="D59" s="47" t="s">
        <v>412</v>
      </c>
      <c r="E59" s="47" t="s">
        <v>4</v>
      </c>
      <c r="F59" s="47" t="s">
        <v>413</v>
      </c>
      <c r="G59" s="47" t="s">
        <v>4</v>
      </c>
      <c r="H59" s="47" t="s">
        <v>414</v>
      </c>
      <c r="I59" s="47" t="s">
        <v>4</v>
      </c>
      <c r="J59" s="47" t="s">
        <v>415</v>
      </c>
      <c r="K59" s="47" t="s">
        <v>4</v>
      </c>
      <c r="L59" s="48">
        <v>2.0</v>
      </c>
      <c r="M59" s="48">
        <v>0.0</v>
      </c>
      <c r="N59" s="49">
        <f t="shared" si="1"/>
        <v>2</v>
      </c>
      <c r="O59" s="47" t="b">
        <v>1</v>
      </c>
      <c r="P59" s="50" t="b">
        <v>1</v>
      </c>
      <c r="Q59" s="47" t="b">
        <v>0</v>
      </c>
      <c r="R59" s="47" t="s">
        <v>4</v>
      </c>
      <c r="S59" s="51"/>
      <c r="T59" s="51"/>
      <c r="U59" s="51"/>
    </row>
    <row r="60">
      <c r="A60" s="47" t="s">
        <v>416</v>
      </c>
      <c r="B60" s="47">
        <v>59.0</v>
      </c>
      <c r="C60" s="47" t="s">
        <v>406</v>
      </c>
      <c r="D60" s="47" t="s">
        <v>417</v>
      </c>
      <c r="E60" s="47" t="s">
        <v>4</v>
      </c>
      <c r="F60" s="47" t="s">
        <v>418</v>
      </c>
      <c r="G60" s="47" t="s">
        <v>4</v>
      </c>
      <c r="H60" s="47" t="s">
        <v>419</v>
      </c>
      <c r="I60" s="47" t="s">
        <v>4</v>
      </c>
      <c r="J60" s="47" t="s">
        <v>420</v>
      </c>
      <c r="K60" s="47" t="s">
        <v>4</v>
      </c>
      <c r="L60" s="48">
        <v>1.8</v>
      </c>
      <c r="M60" s="48">
        <v>0.0</v>
      </c>
      <c r="N60" s="49">
        <f t="shared" si="1"/>
        <v>1.8</v>
      </c>
      <c r="O60" s="47" t="b">
        <v>1</v>
      </c>
      <c r="P60" s="50" t="b">
        <v>1</v>
      </c>
      <c r="Q60" s="47" t="b">
        <v>0</v>
      </c>
      <c r="R60" s="47" t="s">
        <v>4</v>
      </c>
      <c r="S60" s="51"/>
      <c r="T60" s="51"/>
      <c r="U60" s="51"/>
    </row>
    <row r="61">
      <c r="A61" s="47" t="s">
        <v>421</v>
      </c>
      <c r="B61" s="47">
        <v>60.0</v>
      </c>
      <c r="C61" s="47" t="s">
        <v>406</v>
      </c>
      <c r="D61" s="47" t="s">
        <v>422</v>
      </c>
      <c r="E61" s="47" t="s">
        <v>4</v>
      </c>
      <c r="F61" s="47" t="s">
        <v>423</v>
      </c>
      <c r="G61" s="47" t="s">
        <v>4</v>
      </c>
      <c r="H61" s="47" t="s">
        <v>424</v>
      </c>
      <c r="I61" s="47" t="s">
        <v>4</v>
      </c>
      <c r="J61" s="47" t="s">
        <v>423</v>
      </c>
      <c r="K61" s="47" t="s">
        <v>4</v>
      </c>
      <c r="L61" s="48">
        <v>2.0</v>
      </c>
      <c r="M61" s="48">
        <v>0.0</v>
      </c>
      <c r="N61" s="49">
        <f t="shared" si="1"/>
        <v>2</v>
      </c>
      <c r="O61" s="47" t="b">
        <v>1</v>
      </c>
      <c r="P61" s="50" t="b">
        <v>1</v>
      </c>
      <c r="Q61" s="47" t="b">
        <v>0</v>
      </c>
      <c r="R61" s="47" t="s">
        <v>4</v>
      </c>
      <c r="S61" s="51"/>
      <c r="T61" s="51"/>
      <c r="U61" s="51"/>
    </row>
    <row r="62">
      <c r="A62" s="47" t="s">
        <v>425</v>
      </c>
      <c r="B62" s="47">
        <v>61.0</v>
      </c>
      <c r="C62" s="47" t="s">
        <v>406</v>
      </c>
      <c r="D62" s="47" t="s">
        <v>426</v>
      </c>
      <c r="E62" s="47" t="s">
        <v>4</v>
      </c>
      <c r="F62" s="47" t="s">
        <v>427</v>
      </c>
      <c r="G62" s="47" t="s">
        <v>4</v>
      </c>
      <c r="H62" s="47" t="s">
        <v>427</v>
      </c>
      <c r="I62" s="47" t="s">
        <v>4</v>
      </c>
      <c r="J62" s="47" t="s">
        <v>427</v>
      </c>
      <c r="K62" s="47" t="s">
        <v>4</v>
      </c>
      <c r="L62" s="48">
        <v>2.2</v>
      </c>
      <c r="M62" s="48">
        <v>0.0</v>
      </c>
      <c r="N62" s="49">
        <f t="shared" si="1"/>
        <v>2.2</v>
      </c>
      <c r="O62" s="47" t="b">
        <v>1</v>
      </c>
      <c r="P62" s="50" t="b">
        <v>1</v>
      </c>
      <c r="Q62" s="47" t="b">
        <v>0</v>
      </c>
      <c r="R62" s="47" t="s">
        <v>4</v>
      </c>
      <c r="S62" s="51"/>
      <c r="T62" s="51"/>
      <c r="U62" s="51"/>
    </row>
    <row r="63">
      <c r="A63" s="47" t="s">
        <v>428</v>
      </c>
      <c r="B63" s="47">
        <v>62.0</v>
      </c>
      <c r="C63" s="47" t="s">
        <v>406</v>
      </c>
      <c r="D63" s="47" t="s">
        <v>429</v>
      </c>
      <c r="E63" s="47" t="s">
        <v>4</v>
      </c>
      <c r="F63" s="47" t="s">
        <v>430</v>
      </c>
      <c r="G63" s="47" t="s">
        <v>4</v>
      </c>
      <c r="H63" s="47" t="s">
        <v>431</v>
      </c>
      <c r="I63" s="47" t="s">
        <v>4</v>
      </c>
      <c r="J63" s="47" t="s">
        <v>432</v>
      </c>
      <c r="K63" s="47" t="s">
        <v>4</v>
      </c>
      <c r="L63" s="48">
        <v>2.25</v>
      </c>
      <c r="M63" s="48">
        <v>0.0</v>
      </c>
      <c r="N63" s="49">
        <f t="shared" si="1"/>
        <v>2.25</v>
      </c>
      <c r="O63" s="47" t="b">
        <v>1</v>
      </c>
      <c r="P63" s="50" t="b">
        <v>1</v>
      </c>
      <c r="Q63" s="47" t="b">
        <v>0</v>
      </c>
      <c r="R63" s="47" t="s">
        <v>4</v>
      </c>
      <c r="S63" s="51"/>
      <c r="T63" s="51"/>
      <c r="U63" s="51"/>
    </row>
    <row r="64">
      <c r="A64" s="47" t="s">
        <v>433</v>
      </c>
      <c r="B64" s="47">
        <v>63.0</v>
      </c>
      <c r="C64" s="47" t="s">
        <v>406</v>
      </c>
      <c r="D64" s="47" t="s">
        <v>434</v>
      </c>
      <c r="E64" s="47" t="s">
        <v>4</v>
      </c>
      <c r="F64" s="47" t="s">
        <v>435</v>
      </c>
      <c r="G64" s="47" t="s">
        <v>4</v>
      </c>
      <c r="H64" s="47" t="s">
        <v>436</v>
      </c>
      <c r="I64" s="47" t="s">
        <v>4</v>
      </c>
      <c r="J64" s="47" t="s">
        <v>437</v>
      </c>
      <c r="K64" s="47" t="s">
        <v>4</v>
      </c>
      <c r="L64" s="48">
        <v>3.0</v>
      </c>
      <c r="M64" s="48">
        <v>0.0</v>
      </c>
      <c r="N64" s="49">
        <f t="shared" si="1"/>
        <v>3</v>
      </c>
      <c r="O64" s="47" t="b">
        <v>1</v>
      </c>
      <c r="P64" s="50" t="b">
        <v>1</v>
      </c>
      <c r="Q64" s="47" t="b">
        <v>0</v>
      </c>
      <c r="R64" s="47" t="s">
        <v>4</v>
      </c>
      <c r="S64" s="51"/>
      <c r="T64" s="51"/>
      <c r="U64" s="51"/>
    </row>
    <row r="65">
      <c r="A65" s="47" t="s">
        <v>438</v>
      </c>
      <c r="B65" s="47">
        <v>64.0</v>
      </c>
      <c r="C65" s="47" t="s">
        <v>406</v>
      </c>
      <c r="D65" s="47" t="s">
        <v>439</v>
      </c>
      <c r="E65" s="47" t="s">
        <v>4</v>
      </c>
      <c r="F65" s="47" t="s">
        <v>440</v>
      </c>
      <c r="G65" s="47" t="s">
        <v>4</v>
      </c>
      <c r="H65" s="47" t="s">
        <v>441</v>
      </c>
      <c r="I65" s="47" t="s">
        <v>4</v>
      </c>
      <c r="J65" s="47" t="s">
        <v>442</v>
      </c>
      <c r="K65" s="47" t="s">
        <v>4</v>
      </c>
      <c r="L65" s="48">
        <v>3.0</v>
      </c>
      <c r="M65" s="48">
        <v>0.0</v>
      </c>
      <c r="N65" s="49">
        <f t="shared" si="1"/>
        <v>3</v>
      </c>
      <c r="O65" s="47" t="b">
        <v>1</v>
      </c>
      <c r="P65" s="50" t="b">
        <v>1</v>
      </c>
      <c r="Q65" s="47" t="b">
        <v>0</v>
      </c>
      <c r="R65" s="47" t="s">
        <v>4</v>
      </c>
      <c r="S65" s="51"/>
      <c r="T65" s="51"/>
      <c r="U65" s="51"/>
    </row>
    <row r="66">
      <c r="A66" s="47" t="s">
        <v>443</v>
      </c>
      <c r="B66" s="47">
        <v>65.0</v>
      </c>
      <c r="C66" s="47" t="s">
        <v>406</v>
      </c>
      <c r="D66" s="47" t="s">
        <v>444</v>
      </c>
      <c r="E66" s="47" t="s">
        <v>4</v>
      </c>
      <c r="F66" s="47" t="s">
        <v>445</v>
      </c>
      <c r="G66" s="47" t="s">
        <v>4</v>
      </c>
      <c r="H66" s="47" t="s">
        <v>446</v>
      </c>
      <c r="I66" s="47" t="s">
        <v>4</v>
      </c>
      <c r="J66" s="47" t="s">
        <v>446</v>
      </c>
      <c r="K66" s="47" t="s">
        <v>4</v>
      </c>
      <c r="L66" s="48">
        <v>7.0</v>
      </c>
      <c r="M66" s="48">
        <v>0.0</v>
      </c>
      <c r="N66" s="49">
        <f t="shared" si="1"/>
        <v>7</v>
      </c>
      <c r="O66" s="47" t="b">
        <v>1</v>
      </c>
      <c r="P66" s="50" t="b">
        <v>1</v>
      </c>
      <c r="Q66" s="47" t="b">
        <v>0</v>
      </c>
      <c r="R66" s="47" t="s">
        <v>4</v>
      </c>
      <c r="S66" s="51"/>
      <c r="T66" s="51"/>
      <c r="U66" s="51"/>
    </row>
    <row r="67">
      <c r="A67" s="47" t="s">
        <v>447</v>
      </c>
      <c r="B67" s="47">
        <v>66.0</v>
      </c>
      <c r="C67" s="47" t="s">
        <v>406</v>
      </c>
      <c r="D67" s="47" t="s">
        <v>448</v>
      </c>
      <c r="E67" s="47" t="s">
        <v>449</v>
      </c>
      <c r="F67" s="47" t="s">
        <v>450</v>
      </c>
      <c r="G67" s="47" t="s">
        <v>451</v>
      </c>
      <c r="H67" s="47" t="s">
        <v>452</v>
      </c>
      <c r="I67" s="47" t="s">
        <v>453</v>
      </c>
      <c r="J67" s="47" t="s">
        <v>454</v>
      </c>
      <c r="K67" s="47" t="s">
        <v>455</v>
      </c>
      <c r="L67" s="48">
        <v>2.0</v>
      </c>
      <c r="M67" s="48">
        <v>0.0</v>
      </c>
      <c r="N67" s="49">
        <f t="shared" si="1"/>
        <v>2</v>
      </c>
      <c r="O67" s="47" t="b">
        <v>1</v>
      </c>
      <c r="P67" s="47" t="b">
        <v>1</v>
      </c>
      <c r="Q67" s="50" t="b">
        <v>0</v>
      </c>
      <c r="R67" s="47" t="s">
        <v>4</v>
      </c>
      <c r="S67" s="51"/>
      <c r="T67" s="51"/>
      <c r="U67" s="51"/>
    </row>
    <row r="68">
      <c r="A68" s="52" t="s">
        <v>456</v>
      </c>
      <c r="B68" s="52">
        <v>67.0</v>
      </c>
      <c r="C68" s="52" t="s">
        <v>457</v>
      </c>
      <c r="D68" s="52" t="s">
        <v>458</v>
      </c>
      <c r="E68" s="52" t="s">
        <v>459</v>
      </c>
      <c r="F68" s="52" t="s">
        <v>460</v>
      </c>
      <c r="G68" s="52" t="s">
        <v>459</v>
      </c>
      <c r="H68" s="52" t="s">
        <v>461</v>
      </c>
      <c r="I68" s="52" t="s">
        <v>459</v>
      </c>
      <c r="J68" s="52" t="s">
        <v>462</v>
      </c>
      <c r="K68" s="52" t="s">
        <v>459</v>
      </c>
      <c r="L68" s="53">
        <v>3.0</v>
      </c>
      <c r="M68" s="53">
        <v>0.0</v>
      </c>
      <c r="N68" s="54">
        <f t="shared" si="1"/>
        <v>3</v>
      </c>
      <c r="O68" s="52" t="b">
        <v>1</v>
      </c>
      <c r="P68" s="52" t="b">
        <v>1</v>
      </c>
      <c r="Q68" s="52" t="b">
        <v>1</v>
      </c>
      <c r="R68" s="52" t="s">
        <v>4</v>
      </c>
      <c r="S68" s="55"/>
      <c r="T68" s="55"/>
      <c r="U68" s="55"/>
    </row>
    <row r="69">
      <c r="A69" s="52" t="s">
        <v>463</v>
      </c>
      <c r="B69" s="52">
        <v>68.0</v>
      </c>
      <c r="C69" s="52" t="s">
        <v>457</v>
      </c>
      <c r="D69" s="52" t="s">
        <v>464</v>
      </c>
      <c r="E69" s="52" t="s">
        <v>4</v>
      </c>
      <c r="F69" s="52" t="s">
        <v>465</v>
      </c>
      <c r="G69" s="52" t="s">
        <v>4</v>
      </c>
      <c r="H69" s="52" t="s">
        <v>466</v>
      </c>
      <c r="I69" s="52" t="s">
        <v>4</v>
      </c>
      <c r="J69" s="52" t="s">
        <v>467</v>
      </c>
      <c r="K69" s="52" t="s">
        <v>4</v>
      </c>
      <c r="L69" s="53">
        <v>2.5</v>
      </c>
      <c r="M69" s="53">
        <v>0.0</v>
      </c>
      <c r="N69" s="54">
        <f t="shared" si="1"/>
        <v>2.5</v>
      </c>
      <c r="O69" s="52" t="b">
        <v>1</v>
      </c>
      <c r="P69" s="52" t="b">
        <v>1</v>
      </c>
      <c r="Q69" s="52" t="b">
        <v>1</v>
      </c>
      <c r="R69" s="52" t="s">
        <v>4</v>
      </c>
      <c r="S69" s="55"/>
      <c r="T69" s="55"/>
      <c r="U69" s="55"/>
    </row>
    <row r="70">
      <c r="A70" s="52" t="s">
        <v>468</v>
      </c>
      <c r="B70" s="52">
        <v>69.0</v>
      </c>
      <c r="C70" s="52" t="s">
        <v>457</v>
      </c>
      <c r="D70" s="52" t="s">
        <v>469</v>
      </c>
      <c r="E70" s="52" t="s">
        <v>4</v>
      </c>
      <c r="F70" s="52" t="s">
        <v>469</v>
      </c>
      <c r="G70" s="52" t="s">
        <v>4</v>
      </c>
      <c r="H70" s="52" t="s">
        <v>469</v>
      </c>
      <c r="I70" s="52" t="s">
        <v>4</v>
      </c>
      <c r="J70" s="52" t="s">
        <v>469</v>
      </c>
      <c r="K70" s="52" t="s">
        <v>4</v>
      </c>
      <c r="L70" s="53">
        <v>2.5</v>
      </c>
      <c r="M70" s="53">
        <v>0.0</v>
      </c>
      <c r="N70" s="54">
        <f t="shared" si="1"/>
        <v>2.5</v>
      </c>
      <c r="O70" s="52" t="b">
        <v>1</v>
      </c>
      <c r="P70" s="52" t="b">
        <v>1</v>
      </c>
      <c r="Q70" s="52" t="b">
        <v>1</v>
      </c>
      <c r="R70" s="52" t="s">
        <v>4</v>
      </c>
      <c r="S70" s="55"/>
      <c r="T70" s="55"/>
      <c r="U70" s="55"/>
    </row>
    <row r="71">
      <c r="A71" s="52" t="s">
        <v>470</v>
      </c>
      <c r="B71" s="52">
        <v>70.0</v>
      </c>
      <c r="C71" s="52" t="s">
        <v>457</v>
      </c>
      <c r="D71" s="52" t="s">
        <v>471</v>
      </c>
      <c r="E71" s="52" t="s">
        <v>4</v>
      </c>
      <c r="F71" s="52" t="s">
        <v>471</v>
      </c>
      <c r="G71" s="52" t="s">
        <v>4</v>
      </c>
      <c r="H71" s="52" t="s">
        <v>471</v>
      </c>
      <c r="I71" s="52" t="s">
        <v>4</v>
      </c>
      <c r="J71" s="52" t="s">
        <v>471</v>
      </c>
      <c r="K71" s="52" t="s">
        <v>4</v>
      </c>
      <c r="L71" s="53">
        <v>2.5</v>
      </c>
      <c r="M71" s="53">
        <v>0.0</v>
      </c>
      <c r="N71" s="54">
        <f t="shared" si="1"/>
        <v>2.5</v>
      </c>
      <c r="O71" s="52" t="b">
        <v>1</v>
      </c>
      <c r="P71" s="52" t="b">
        <v>1</v>
      </c>
      <c r="Q71" s="52" t="b">
        <v>1</v>
      </c>
      <c r="R71" s="52" t="s">
        <v>4</v>
      </c>
      <c r="S71" s="55"/>
      <c r="T71" s="55"/>
      <c r="U71" s="55"/>
    </row>
    <row r="72">
      <c r="A72" s="52" t="s">
        <v>472</v>
      </c>
      <c r="B72" s="52">
        <v>71.0</v>
      </c>
      <c r="C72" s="52" t="s">
        <v>457</v>
      </c>
      <c r="D72" s="52" t="s">
        <v>473</v>
      </c>
      <c r="E72" s="52" t="s">
        <v>4</v>
      </c>
      <c r="F72" s="52" t="s">
        <v>473</v>
      </c>
      <c r="G72" s="52" t="s">
        <v>4</v>
      </c>
      <c r="H72" s="52" t="s">
        <v>473</v>
      </c>
      <c r="I72" s="52" t="s">
        <v>4</v>
      </c>
      <c r="J72" s="52" t="s">
        <v>473</v>
      </c>
      <c r="K72" s="52" t="s">
        <v>4</v>
      </c>
      <c r="L72" s="53">
        <v>2.5</v>
      </c>
      <c r="M72" s="53">
        <v>0.0</v>
      </c>
      <c r="N72" s="54">
        <f t="shared" si="1"/>
        <v>2.5</v>
      </c>
      <c r="O72" s="52" t="b">
        <v>1</v>
      </c>
      <c r="P72" s="52" t="b">
        <v>1</v>
      </c>
      <c r="Q72" s="52" t="b">
        <v>1</v>
      </c>
      <c r="R72" s="52" t="s">
        <v>4</v>
      </c>
      <c r="S72" s="55"/>
      <c r="T72" s="55"/>
      <c r="U72" s="55"/>
    </row>
    <row r="73">
      <c r="A73" s="52" t="s">
        <v>474</v>
      </c>
      <c r="B73" s="52">
        <v>72.0</v>
      </c>
      <c r="C73" s="52" t="s">
        <v>457</v>
      </c>
      <c r="D73" s="52" t="s">
        <v>475</v>
      </c>
      <c r="E73" s="52" t="s">
        <v>4</v>
      </c>
      <c r="F73" s="52" t="s">
        <v>475</v>
      </c>
      <c r="G73" s="52" t="s">
        <v>4</v>
      </c>
      <c r="H73" s="52" t="s">
        <v>475</v>
      </c>
      <c r="I73" s="52" t="s">
        <v>4</v>
      </c>
      <c r="J73" s="52" t="s">
        <v>475</v>
      </c>
      <c r="K73" s="52" t="s">
        <v>4</v>
      </c>
      <c r="L73" s="53">
        <v>4.0</v>
      </c>
      <c r="M73" s="53">
        <v>0.0</v>
      </c>
      <c r="N73" s="54">
        <f t="shared" si="1"/>
        <v>4</v>
      </c>
      <c r="O73" s="52" t="b">
        <v>1</v>
      </c>
      <c r="P73" s="52" t="b">
        <v>1</v>
      </c>
      <c r="Q73" s="52" t="b">
        <v>1</v>
      </c>
      <c r="R73" s="52" t="s">
        <v>4</v>
      </c>
      <c r="S73" s="55"/>
      <c r="T73" s="55"/>
      <c r="U73" s="55"/>
    </row>
    <row r="74">
      <c r="A74" s="56" t="s">
        <v>476</v>
      </c>
      <c r="B74" s="56">
        <v>73.0</v>
      </c>
      <c r="C74" s="56" t="s">
        <v>477</v>
      </c>
      <c r="D74" s="56" t="s">
        <v>478</v>
      </c>
      <c r="E74" s="56" t="s">
        <v>479</v>
      </c>
      <c r="F74" s="56" t="s">
        <v>480</v>
      </c>
      <c r="G74" s="56" t="s">
        <v>481</v>
      </c>
      <c r="H74" s="56" t="s">
        <v>482</v>
      </c>
      <c r="I74" s="56" t="s">
        <v>483</v>
      </c>
      <c r="J74" s="56" t="s">
        <v>484</v>
      </c>
      <c r="K74" s="56" t="s">
        <v>485</v>
      </c>
      <c r="L74" s="57">
        <v>2.0</v>
      </c>
      <c r="M74" s="57">
        <v>0.0</v>
      </c>
      <c r="N74" s="58">
        <f t="shared" si="1"/>
        <v>2</v>
      </c>
      <c r="O74" s="56" t="b">
        <v>1</v>
      </c>
      <c r="P74" s="56" t="b">
        <v>1</v>
      </c>
      <c r="Q74" s="59" t="b">
        <v>0</v>
      </c>
      <c r="R74" s="56" t="s">
        <v>4</v>
      </c>
      <c r="S74" s="60"/>
      <c r="T74" s="60"/>
      <c r="U74" s="60"/>
    </row>
    <row r="75">
      <c r="A75" s="56" t="s">
        <v>486</v>
      </c>
      <c r="B75" s="56">
        <v>74.0</v>
      </c>
      <c r="C75" s="56" t="s">
        <v>477</v>
      </c>
      <c r="D75" s="56" t="s">
        <v>487</v>
      </c>
      <c r="E75" s="56" t="s">
        <v>488</v>
      </c>
      <c r="F75" s="56" t="s">
        <v>487</v>
      </c>
      <c r="G75" s="56" t="s">
        <v>489</v>
      </c>
      <c r="H75" s="56" t="s">
        <v>487</v>
      </c>
      <c r="I75" s="56" t="s">
        <v>490</v>
      </c>
      <c r="J75" s="56" t="s">
        <v>487</v>
      </c>
      <c r="K75" s="56" t="s">
        <v>491</v>
      </c>
      <c r="L75" s="57">
        <v>4.5</v>
      </c>
      <c r="M75" s="57">
        <v>0.0</v>
      </c>
      <c r="N75" s="58">
        <f t="shared" si="1"/>
        <v>4.5</v>
      </c>
      <c r="O75" s="56" t="b">
        <v>1</v>
      </c>
      <c r="P75" s="56" t="b">
        <v>1</v>
      </c>
      <c r="Q75" s="59" t="b">
        <v>0</v>
      </c>
      <c r="R75" s="56" t="s">
        <v>4</v>
      </c>
      <c r="S75" s="60"/>
      <c r="T75" s="60"/>
      <c r="U75" s="60"/>
    </row>
    <row r="76">
      <c r="A76" s="56" t="s">
        <v>492</v>
      </c>
      <c r="B76" s="56">
        <v>75.0</v>
      </c>
      <c r="C76" s="56" t="s">
        <v>477</v>
      </c>
      <c r="D76" s="56" t="s">
        <v>493</v>
      </c>
      <c r="E76" s="56" t="s">
        <v>4</v>
      </c>
      <c r="F76" s="56" t="s">
        <v>493</v>
      </c>
      <c r="G76" s="56" t="s">
        <v>4</v>
      </c>
      <c r="H76" s="56" t="s">
        <v>493</v>
      </c>
      <c r="I76" s="56" t="s">
        <v>4</v>
      </c>
      <c r="J76" s="56" t="s">
        <v>493</v>
      </c>
      <c r="K76" s="56" t="s">
        <v>4</v>
      </c>
      <c r="L76" s="57">
        <v>5.25</v>
      </c>
      <c r="M76" s="57">
        <v>0.0</v>
      </c>
      <c r="N76" s="58">
        <f t="shared" si="1"/>
        <v>5.25</v>
      </c>
      <c r="O76" s="56" t="b">
        <v>1</v>
      </c>
      <c r="P76" s="56" t="b">
        <v>1</v>
      </c>
      <c r="Q76" s="59" t="b">
        <v>0</v>
      </c>
      <c r="R76" s="56" t="s">
        <v>4</v>
      </c>
      <c r="S76" s="60"/>
      <c r="T76" s="60"/>
      <c r="U76" s="60"/>
    </row>
    <row r="77">
      <c r="A77" s="56" t="s">
        <v>494</v>
      </c>
      <c r="B77" s="56">
        <v>76.0</v>
      </c>
      <c r="C77" s="56" t="s">
        <v>477</v>
      </c>
      <c r="D77" s="56" t="s">
        <v>495</v>
      </c>
      <c r="E77" s="56" t="s">
        <v>4</v>
      </c>
      <c r="F77" s="56" t="s">
        <v>496</v>
      </c>
      <c r="G77" s="56" t="s">
        <v>4</v>
      </c>
      <c r="H77" s="56" t="s">
        <v>497</v>
      </c>
      <c r="I77" s="56" t="s">
        <v>4</v>
      </c>
      <c r="J77" s="56" t="s">
        <v>498</v>
      </c>
      <c r="K77" s="56" t="s">
        <v>4</v>
      </c>
      <c r="L77" s="57">
        <v>5.0</v>
      </c>
      <c r="M77" s="57">
        <v>0.0</v>
      </c>
      <c r="N77" s="58">
        <f t="shared" si="1"/>
        <v>5</v>
      </c>
      <c r="O77" s="56" t="b">
        <v>1</v>
      </c>
      <c r="P77" s="56" t="b">
        <v>1</v>
      </c>
      <c r="Q77" s="59" t="b">
        <v>0</v>
      </c>
      <c r="R77" s="56" t="s">
        <v>4</v>
      </c>
      <c r="S77" s="60"/>
      <c r="T77" s="60"/>
      <c r="U77" s="60"/>
    </row>
    <row r="78">
      <c r="A78" s="56" t="s">
        <v>499</v>
      </c>
      <c r="B78" s="56">
        <v>77.0</v>
      </c>
      <c r="C78" s="56" t="s">
        <v>477</v>
      </c>
      <c r="D78" s="56" t="s">
        <v>500</v>
      </c>
      <c r="E78" s="56" t="s">
        <v>501</v>
      </c>
      <c r="F78" s="56" t="s">
        <v>500</v>
      </c>
      <c r="G78" s="56" t="s">
        <v>501</v>
      </c>
      <c r="H78" s="56" t="s">
        <v>500</v>
      </c>
      <c r="I78" s="56" t="s">
        <v>501</v>
      </c>
      <c r="J78" s="56" t="s">
        <v>500</v>
      </c>
      <c r="K78" s="56" t="s">
        <v>501</v>
      </c>
      <c r="L78" s="57">
        <v>0.0</v>
      </c>
      <c r="M78" s="57">
        <v>0.0</v>
      </c>
      <c r="N78" s="58">
        <f t="shared" si="1"/>
        <v>0</v>
      </c>
      <c r="O78" s="56" t="b">
        <v>1</v>
      </c>
      <c r="P78" s="56" t="b">
        <v>1</v>
      </c>
      <c r="Q78" s="59" t="b">
        <v>0</v>
      </c>
      <c r="R78" s="56" t="s">
        <v>4</v>
      </c>
      <c r="S78" s="60"/>
      <c r="T78" s="60"/>
      <c r="U78" s="60"/>
    </row>
    <row r="79">
      <c r="A79" s="56" t="s">
        <v>502</v>
      </c>
      <c r="B79" s="56">
        <v>78.0</v>
      </c>
      <c r="C79" s="56" t="s">
        <v>477</v>
      </c>
      <c r="D79" s="56" t="s">
        <v>503</v>
      </c>
      <c r="E79" s="56" t="s">
        <v>4</v>
      </c>
      <c r="F79" s="56" t="s">
        <v>503</v>
      </c>
      <c r="G79" s="56" t="s">
        <v>4</v>
      </c>
      <c r="H79" s="56" t="s">
        <v>503</v>
      </c>
      <c r="I79" s="56" t="s">
        <v>4</v>
      </c>
      <c r="J79" s="56" t="s">
        <v>503</v>
      </c>
      <c r="K79" s="56" t="s">
        <v>4</v>
      </c>
      <c r="L79" s="57">
        <v>5.0</v>
      </c>
      <c r="M79" s="57">
        <v>0.0</v>
      </c>
      <c r="N79" s="58">
        <f t="shared" si="1"/>
        <v>5</v>
      </c>
      <c r="O79" s="56" t="b">
        <v>1</v>
      </c>
      <c r="P79" s="56" t="b">
        <v>1</v>
      </c>
      <c r="Q79" s="59" t="b">
        <v>0</v>
      </c>
      <c r="R79" s="56" t="s">
        <v>4</v>
      </c>
      <c r="S79" s="60"/>
      <c r="T79" s="60"/>
      <c r="U79" s="60"/>
    </row>
    <row r="80">
      <c r="A80" s="56" t="s">
        <v>504</v>
      </c>
      <c r="B80" s="56">
        <v>79.0</v>
      </c>
      <c r="C80" s="56" t="s">
        <v>477</v>
      </c>
      <c r="D80" s="56" t="s">
        <v>505</v>
      </c>
      <c r="E80" s="56" t="s">
        <v>4</v>
      </c>
      <c r="F80" s="56" t="s">
        <v>505</v>
      </c>
      <c r="G80" s="56" t="s">
        <v>4</v>
      </c>
      <c r="H80" s="56" t="s">
        <v>505</v>
      </c>
      <c r="I80" s="56" t="s">
        <v>4</v>
      </c>
      <c r="J80" s="56" t="s">
        <v>505</v>
      </c>
      <c r="K80" s="56" t="s">
        <v>4</v>
      </c>
      <c r="L80" s="57">
        <v>5.25</v>
      </c>
      <c r="M80" s="57">
        <v>0.0</v>
      </c>
      <c r="N80" s="58">
        <f t="shared" si="1"/>
        <v>5.25</v>
      </c>
      <c r="O80" s="56" t="b">
        <v>1</v>
      </c>
      <c r="P80" s="56" t="b">
        <v>1</v>
      </c>
      <c r="Q80" s="59" t="b">
        <v>0</v>
      </c>
      <c r="R80" s="56" t="s">
        <v>4</v>
      </c>
      <c r="S80" s="60"/>
      <c r="T80" s="60"/>
      <c r="U80" s="60"/>
    </row>
    <row r="81">
      <c r="A81" s="56" t="s">
        <v>506</v>
      </c>
      <c r="B81" s="56">
        <v>80.0</v>
      </c>
      <c r="C81" s="56" t="s">
        <v>477</v>
      </c>
      <c r="D81" s="56" t="s">
        <v>507</v>
      </c>
      <c r="E81" s="56" t="s">
        <v>508</v>
      </c>
      <c r="F81" s="56" t="s">
        <v>507</v>
      </c>
      <c r="G81" s="56" t="s">
        <v>508</v>
      </c>
      <c r="H81" s="56" t="s">
        <v>507</v>
      </c>
      <c r="I81" s="56" t="s">
        <v>508</v>
      </c>
      <c r="J81" s="56" t="s">
        <v>507</v>
      </c>
      <c r="K81" s="56" t="s">
        <v>508</v>
      </c>
      <c r="L81" s="57">
        <v>0.0</v>
      </c>
      <c r="M81" s="57">
        <v>0.0</v>
      </c>
      <c r="N81" s="58">
        <f t="shared" si="1"/>
        <v>0</v>
      </c>
      <c r="O81" s="56" t="b">
        <v>1</v>
      </c>
      <c r="P81" s="56" t="b">
        <v>1</v>
      </c>
      <c r="Q81" s="59" t="b">
        <v>0</v>
      </c>
      <c r="R81" s="56" t="s">
        <v>4</v>
      </c>
      <c r="S81" s="60"/>
      <c r="T81" s="60"/>
      <c r="U81" s="60"/>
    </row>
    <row r="82">
      <c r="A82" s="61" t="s">
        <v>509</v>
      </c>
      <c r="B82" s="61">
        <v>81.0</v>
      </c>
      <c r="C82" s="61" t="s">
        <v>510</v>
      </c>
      <c r="D82" s="61" t="s">
        <v>511</v>
      </c>
      <c r="E82" s="61" t="s">
        <v>512</v>
      </c>
      <c r="F82" s="61" t="s">
        <v>511</v>
      </c>
      <c r="G82" s="61" t="s">
        <v>513</v>
      </c>
      <c r="H82" s="61" t="s">
        <v>511</v>
      </c>
      <c r="I82" s="61" t="s">
        <v>513</v>
      </c>
      <c r="J82" s="61" t="s">
        <v>511</v>
      </c>
      <c r="K82" s="61" t="s">
        <v>513</v>
      </c>
      <c r="L82" s="62">
        <v>6.0</v>
      </c>
      <c r="M82" s="62">
        <v>0.0</v>
      </c>
      <c r="N82" s="63">
        <f t="shared" si="1"/>
        <v>6</v>
      </c>
      <c r="O82" s="61" t="b">
        <v>1</v>
      </c>
      <c r="P82" s="61" t="b">
        <v>1</v>
      </c>
      <c r="Q82" s="64" t="b">
        <v>0</v>
      </c>
      <c r="R82" s="61" t="s">
        <v>4</v>
      </c>
      <c r="S82" s="65"/>
      <c r="T82" s="65"/>
      <c r="U82" s="65"/>
    </row>
    <row r="83">
      <c r="A83" s="61" t="s">
        <v>514</v>
      </c>
      <c r="B83" s="61">
        <v>82.0</v>
      </c>
      <c r="C83" s="61" t="s">
        <v>510</v>
      </c>
      <c r="D83" s="61" t="s">
        <v>515</v>
      </c>
      <c r="E83" s="61" t="s">
        <v>516</v>
      </c>
      <c r="F83" s="61" t="s">
        <v>517</v>
      </c>
      <c r="G83" s="61" t="s">
        <v>518</v>
      </c>
      <c r="H83" s="61" t="s">
        <v>519</v>
      </c>
      <c r="I83" s="61" t="s">
        <v>520</v>
      </c>
      <c r="J83" s="61" t="s">
        <v>521</v>
      </c>
      <c r="K83" s="61" t="s">
        <v>522</v>
      </c>
      <c r="L83" s="62">
        <v>7.0</v>
      </c>
      <c r="M83" s="62">
        <v>0.0</v>
      </c>
      <c r="N83" s="63">
        <f t="shared" si="1"/>
        <v>7</v>
      </c>
      <c r="O83" s="61" t="b">
        <v>1</v>
      </c>
      <c r="P83" s="61" t="b">
        <v>1</v>
      </c>
      <c r="Q83" s="64" t="b">
        <v>0</v>
      </c>
      <c r="R83" s="61" t="s">
        <v>4</v>
      </c>
      <c r="S83" s="65"/>
      <c r="T83" s="65"/>
      <c r="U83" s="65"/>
    </row>
    <row r="84">
      <c r="A84" s="61" t="s">
        <v>523</v>
      </c>
      <c r="B84" s="61">
        <v>83.0</v>
      </c>
      <c r="C84" s="61" t="s">
        <v>510</v>
      </c>
      <c r="D84" s="61" t="s">
        <v>524</v>
      </c>
      <c r="E84" s="61" t="s">
        <v>525</v>
      </c>
      <c r="F84" s="61" t="s">
        <v>524</v>
      </c>
      <c r="G84" s="61" t="s">
        <v>526</v>
      </c>
      <c r="H84" s="61" t="s">
        <v>524</v>
      </c>
      <c r="I84" s="61" t="s">
        <v>527</v>
      </c>
      <c r="J84" s="61" t="s">
        <v>524</v>
      </c>
      <c r="K84" s="61" t="s">
        <v>528</v>
      </c>
      <c r="L84" s="62">
        <v>9.0</v>
      </c>
      <c r="M84" s="62">
        <v>0.0</v>
      </c>
      <c r="N84" s="63">
        <f t="shared" si="1"/>
        <v>9</v>
      </c>
      <c r="O84" s="61" t="b">
        <v>1</v>
      </c>
      <c r="P84" s="61" t="b">
        <v>1</v>
      </c>
      <c r="Q84" s="64" t="b">
        <v>0</v>
      </c>
      <c r="R84" s="61" t="s">
        <v>4</v>
      </c>
      <c r="S84" s="65"/>
      <c r="T84" s="65"/>
      <c r="U84" s="65"/>
    </row>
    <row r="85">
      <c r="A85" s="61" t="s">
        <v>529</v>
      </c>
      <c r="B85" s="61">
        <v>84.0</v>
      </c>
      <c r="C85" s="61" t="s">
        <v>510</v>
      </c>
      <c r="D85" s="61" t="s">
        <v>530</v>
      </c>
      <c r="E85" s="61" t="s">
        <v>531</v>
      </c>
      <c r="F85" s="61" t="s">
        <v>532</v>
      </c>
      <c r="G85" s="61" t="s">
        <v>531</v>
      </c>
      <c r="H85" s="61" t="s">
        <v>533</v>
      </c>
      <c r="I85" s="61" t="s">
        <v>531</v>
      </c>
      <c r="J85" s="61" t="s">
        <v>534</v>
      </c>
      <c r="K85" s="61" t="s">
        <v>531</v>
      </c>
      <c r="L85" s="62">
        <v>0.0</v>
      </c>
      <c r="M85" s="62">
        <v>0.0</v>
      </c>
      <c r="N85" s="63">
        <f t="shared" si="1"/>
        <v>0</v>
      </c>
      <c r="O85" s="61" t="b">
        <v>1</v>
      </c>
      <c r="P85" s="61" t="b">
        <v>1</v>
      </c>
      <c r="Q85" s="64" t="b">
        <v>0</v>
      </c>
      <c r="R85" s="61" t="s">
        <v>4</v>
      </c>
      <c r="S85" s="65"/>
      <c r="T85" s="65"/>
      <c r="U85" s="65"/>
    </row>
    <row r="86">
      <c r="A86" s="2" t="s">
        <v>535</v>
      </c>
      <c r="B86" s="2">
        <v>85.0</v>
      </c>
      <c r="C86" s="2" t="s">
        <v>536</v>
      </c>
      <c r="D86" s="2" t="s">
        <v>537</v>
      </c>
      <c r="E86" s="2" t="s">
        <v>538</v>
      </c>
      <c r="F86" s="2" t="s">
        <v>537</v>
      </c>
      <c r="G86" s="2" t="s">
        <v>539</v>
      </c>
      <c r="H86" s="2" t="s">
        <v>537</v>
      </c>
      <c r="I86" s="2" t="s">
        <v>540</v>
      </c>
      <c r="J86" s="2" t="s">
        <v>537</v>
      </c>
      <c r="K86" s="2" t="s">
        <v>541</v>
      </c>
      <c r="L86" s="41">
        <v>3.6</v>
      </c>
      <c r="M86" s="41">
        <v>0.0</v>
      </c>
      <c r="N86" s="9">
        <f t="shared" si="1"/>
        <v>3.6</v>
      </c>
      <c r="O86" s="2" t="b">
        <v>1</v>
      </c>
      <c r="P86" s="2" t="b">
        <v>1</v>
      </c>
      <c r="Q86" s="2" t="b">
        <v>1</v>
      </c>
      <c r="R86" s="2" t="s">
        <v>4</v>
      </c>
    </row>
    <row r="87">
      <c r="A87" s="2" t="s">
        <v>542</v>
      </c>
      <c r="B87" s="2">
        <v>86.0</v>
      </c>
      <c r="C87" s="2" t="s">
        <v>536</v>
      </c>
      <c r="D87" s="2" t="s">
        <v>543</v>
      </c>
      <c r="E87" s="2" t="s">
        <v>544</v>
      </c>
      <c r="F87" s="2" t="s">
        <v>543</v>
      </c>
      <c r="G87" s="2" t="s">
        <v>545</v>
      </c>
      <c r="H87" s="2" t="s">
        <v>543</v>
      </c>
      <c r="I87" s="2" t="s">
        <v>546</v>
      </c>
      <c r="J87" s="2" t="s">
        <v>543</v>
      </c>
      <c r="K87" s="2" t="s">
        <v>547</v>
      </c>
      <c r="L87" s="41">
        <v>3.6</v>
      </c>
      <c r="M87" s="41">
        <v>0.0</v>
      </c>
      <c r="N87" s="9">
        <f t="shared" si="1"/>
        <v>3.6</v>
      </c>
      <c r="O87" s="2" t="b">
        <v>1</v>
      </c>
      <c r="P87" s="2" t="b">
        <v>1</v>
      </c>
      <c r="Q87" s="2" t="b">
        <v>1</v>
      </c>
      <c r="R87" s="2" t="s">
        <v>4</v>
      </c>
    </row>
    <row r="88">
      <c r="A88" s="2" t="s">
        <v>548</v>
      </c>
      <c r="B88" s="2">
        <v>87.0</v>
      </c>
      <c r="C88" s="2" t="s">
        <v>536</v>
      </c>
      <c r="D88" s="2" t="s">
        <v>549</v>
      </c>
      <c r="E88" s="2" t="s">
        <v>550</v>
      </c>
      <c r="F88" s="2" t="s">
        <v>549</v>
      </c>
      <c r="G88" s="2" t="s">
        <v>551</v>
      </c>
      <c r="H88" s="2" t="s">
        <v>549</v>
      </c>
      <c r="I88" s="2" t="s">
        <v>552</v>
      </c>
      <c r="J88" s="2" t="s">
        <v>549</v>
      </c>
      <c r="K88" s="2" t="s">
        <v>553</v>
      </c>
      <c r="L88" s="41">
        <v>3.6</v>
      </c>
      <c r="M88" s="41">
        <v>0.0</v>
      </c>
      <c r="N88" s="9">
        <f t="shared" si="1"/>
        <v>3.6</v>
      </c>
      <c r="O88" s="2" t="b">
        <v>1</v>
      </c>
      <c r="P88" s="2" t="b">
        <v>1</v>
      </c>
      <c r="Q88" s="2" t="b">
        <v>1</v>
      </c>
      <c r="R88" s="2" t="s">
        <v>4</v>
      </c>
    </row>
    <row r="89">
      <c r="A89" s="2" t="s">
        <v>554</v>
      </c>
      <c r="B89" s="2">
        <v>88.0</v>
      </c>
      <c r="C89" s="2" t="s">
        <v>536</v>
      </c>
      <c r="D89" s="2" t="s">
        <v>555</v>
      </c>
      <c r="E89" s="2" t="s">
        <v>556</v>
      </c>
      <c r="F89" s="2" t="s">
        <v>555</v>
      </c>
      <c r="G89" s="2" t="s">
        <v>557</v>
      </c>
      <c r="H89" s="2" t="s">
        <v>555</v>
      </c>
      <c r="I89" s="2" t="s">
        <v>558</v>
      </c>
      <c r="J89" s="2" t="s">
        <v>555</v>
      </c>
      <c r="K89" s="2" t="s">
        <v>559</v>
      </c>
      <c r="L89" s="41">
        <v>4.0</v>
      </c>
      <c r="M89" s="41">
        <v>0.0</v>
      </c>
      <c r="N89" s="9">
        <f t="shared" si="1"/>
        <v>4</v>
      </c>
      <c r="O89" s="2" t="b">
        <v>1</v>
      </c>
      <c r="P89" s="2" t="b">
        <v>1</v>
      </c>
      <c r="Q89" s="2" t="b">
        <v>1</v>
      </c>
      <c r="R89" s="2" t="s">
        <v>4</v>
      </c>
    </row>
    <row r="90">
      <c r="A90" s="2" t="s">
        <v>560</v>
      </c>
      <c r="B90" s="2">
        <v>89.0</v>
      </c>
      <c r="C90" s="2" t="s">
        <v>536</v>
      </c>
      <c r="D90" s="2" t="s">
        <v>561</v>
      </c>
      <c r="E90" s="2" t="s">
        <v>562</v>
      </c>
      <c r="F90" s="2" t="s">
        <v>563</v>
      </c>
      <c r="G90" s="2" t="s">
        <v>562</v>
      </c>
      <c r="H90" s="2" t="s">
        <v>564</v>
      </c>
      <c r="I90" s="2" t="s">
        <v>562</v>
      </c>
      <c r="J90" s="2" t="s">
        <v>565</v>
      </c>
      <c r="K90" s="2" t="s">
        <v>566</v>
      </c>
      <c r="L90" s="41">
        <v>3.1</v>
      </c>
      <c r="M90" s="41">
        <v>0.0</v>
      </c>
      <c r="N90" s="9">
        <f t="shared" si="1"/>
        <v>3.1</v>
      </c>
      <c r="O90" s="2" t="b">
        <v>1</v>
      </c>
      <c r="P90" s="2" t="b">
        <v>1</v>
      </c>
      <c r="Q90" s="2" t="b">
        <v>0</v>
      </c>
      <c r="R90" s="2" t="s">
        <v>4</v>
      </c>
    </row>
    <row r="91">
      <c r="A91" s="2" t="s">
        <v>567</v>
      </c>
      <c r="B91" s="2">
        <v>90.0</v>
      </c>
      <c r="C91" s="2" t="s">
        <v>536</v>
      </c>
      <c r="D91" s="2" t="s">
        <v>568</v>
      </c>
      <c r="E91" s="2" t="s">
        <v>569</v>
      </c>
      <c r="F91" s="2" t="s">
        <v>570</v>
      </c>
      <c r="G91" s="2" t="s">
        <v>569</v>
      </c>
      <c r="H91" s="2" t="s">
        <v>571</v>
      </c>
      <c r="I91" s="2" t="s">
        <v>569</v>
      </c>
      <c r="J91" s="2" t="s">
        <v>572</v>
      </c>
      <c r="K91" s="2" t="s">
        <v>573</v>
      </c>
      <c r="L91" s="41">
        <v>4.0</v>
      </c>
      <c r="M91" s="41">
        <v>0.0</v>
      </c>
      <c r="N91" s="9">
        <f t="shared" si="1"/>
        <v>4</v>
      </c>
      <c r="O91" s="2" t="b">
        <v>1</v>
      </c>
      <c r="P91" s="2" t="b">
        <v>1</v>
      </c>
      <c r="Q91" s="2" t="b">
        <v>0</v>
      </c>
      <c r="R91" s="2" t="s">
        <v>4</v>
      </c>
    </row>
    <row r="92">
      <c r="A92" s="66" t="s">
        <v>574</v>
      </c>
      <c r="B92" s="66">
        <v>100.0</v>
      </c>
      <c r="C92" s="66" t="s">
        <v>575</v>
      </c>
      <c r="D92" s="66" t="s">
        <v>576</v>
      </c>
      <c r="E92" s="66" t="s">
        <v>4</v>
      </c>
      <c r="F92" s="66" t="s">
        <v>577</v>
      </c>
      <c r="G92" s="66" t="s">
        <v>4</v>
      </c>
      <c r="H92" s="66" t="s">
        <v>578</v>
      </c>
      <c r="I92" s="66" t="s">
        <v>4</v>
      </c>
      <c r="J92" s="66" t="s">
        <v>579</v>
      </c>
      <c r="K92" s="66" t="s">
        <v>4</v>
      </c>
      <c r="L92" s="67">
        <v>3.0</v>
      </c>
      <c r="M92" s="67">
        <v>0.0</v>
      </c>
      <c r="N92" s="68">
        <f t="shared" si="1"/>
        <v>3</v>
      </c>
      <c r="O92" s="66" t="b">
        <v>1</v>
      </c>
      <c r="P92" s="66" t="b">
        <v>1</v>
      </c>
      <c r="Q92" s="66" t="b">
        <v>1</v>
      </c>
      <c r="R92" s="66" t="s">
        <v>4</v>
      </c>
      <c r="S92" s="69"/>
      <c r="T92" s="69"/>
      <c r="U92" s="69"/>
    </row>
    <row r="93">
      <c r="A93" s="66" t="s">
        <v>580</v>
      </c>
      <c r="B93" s="66">
        <v>101.0</v>
      </c>
      <c r="C93" s="66" t="s">
        <v>575</v>
      </c>
      <c r="D93" s="66" t="s">
        <v>581</v>
      </c>
      <c r="E93" s="66" t="s">
        <v>4</v>
      </c>
      <c r="F93" s="66" t="s">
        <v>582</v>
      </c>
      <c r="G93" s="66" t="s">
        <v>4</v>
      </c>
      <c r="H93" s="66" t="s">
        <v>582</v>
      </c>
      <c r="I93" s="66" t="s">
        <v>4</v>
      </c>
      <c r="J93" s="66" t="s">
        <v>582</v>
      </c>
      <c r="K93" s="66" t="s">
        <v>4</v>
      </c>
      <c r="L93" s="67">
        <v>3.0</v>
      </c>
      <c r="M93" s="67">
        <v>0.0</v>
      </c>
      <c r="N93" s="68">
        <f t="shared" si="1"/>
        <v>3</v>
      </c>
      <c r="O93" s="66" t="b">
        <v>1</v>
      </c>
      <c r="P93" s="66" t="b">
        <v>1</v>
      </c>
      <c r="Q93" s="66" t="b">
        <v>1</v>
      </c>
      <c r="R93" s="66" t="s">
        <v>4</v>
      </c>
      <c r="S93" s="69"/>
      <c r="T93" s="69"/>
      <c r="U93" s="69"/>
    </row>
    <row r="94">
      <c r="A94" s="66" t="s">
        <v>583</v>
      </c>
      <c r="B94" s="66">
        <v>102.0</v>
      </c>
      <c r="C94" s="66" t="s">
        <v>575</v>
      </c>
      <c r="D94" s="66" t="s">
        <v>584</v>
      </c>
      <c r="E94" s="66" t="s">
        <v>585</v>
      </c>
      <c r="F94" s="66" t="s">
        <v>586</v>
      </c>
      <c r="G94" s="66" t="s">
        <v>587</v>
      </c>
      <c r="H94" s="66" t="s">
        <v>588</v>
      </c>
      <c r="I94" s="66" t="s">
        <v>589</v>
      </c>
      <c r="J94" s="66" t="s">
        <v>590</v>
      </c>
      <c r="K94" s="66" t="s">
        <v>591</v>
      </c>
      <c r="L94" s="67">
        <v>4.5</v>
      </c>
      <c r="M94" s="67">
        <v>0.0</v>
      </c>
      <c r="N94" s="68">
        <f t="shared" si="1"/>
        <v>4.5</v>
      </c>
      <c r="O94" s="66" t="b">
        <v>1</v>
      </c>
      <c r="P94" s="66" t="b">
        <v>1</v>
      </c>
      <c r="Q94" s="66" t="b">
        <v>1</v>
      </c>
      <c r="R94" s="66" t="s">
        <v>4</v>
      </c>
      <c r="S94" s="69"/>
      <c r="T94" s="69"/>
      <c r="U94" s="69"/>
    </row>
    <row r="95">
      <c r="A95" s="66" t="s">
        <v>592</v>
      </c>
      <c r="B95" s="66">
        <v>103.0</v>
      </c>
      <c r="C95" s="66" t="s">
        <v>575</v>
      </c>
      <c r="D95" s="66" t="s">
        <v>593</v>
      </c>
      <c r="E95" s="66" t="s">
        <v>4</v>
      </c>
      <c r="F95" s="66" t="s">
        <v>594</v>
      </c>
      <c r="G95" s="66" t="s">
        <v>4</v>
      </c>
      <c r="H95" s="66" t="s">
        <v>595</v>
      </c>
      <c r="I95" s="66" t="s">
        <v>4</v>
      </c>
      <c r="J95" s="66" t="s">
        <v>596</v>
      </c>
      <c r="K95" s="66" t="s">
        <v>4</v>
      </c>
      <c r="L95" s="67">
        <v>2.25</v>
      </c>
      <c r="M95" s="67">
        <v>0.0</v>
      </c>
      <c r="N95" s="68">
        <f t="shared" si="1"/>
        <v>2.25</v>
      </c>
      <c r="O95" s="66" t="b">
        <v>1</v>
      </c>
      <c r="P95" s="66" t="b">
        <v>1</v>
      </c>
      <c r="Q95" s="66" t="b">
        <v>1</v>
      </c>
      <c r="R95" s="66" t="s">
        <v>4</v>
      </c>
      <c r="S95" s="69"/>
      <c r="T95" s="69"/>
      <c r="U95" s="69"/>
    </row>
    <row r="96">
      <c r="A96" s="66" t="s">
        <v>597</v>
      </c>
      <c r="B96" s="66">
        <v>104.0</v>
      </c>
      <c r="C96" s="66" t="s">
        <v>575</v>
      </c>
      <c r="D96" s="66" t="s">
        <v>598</v>
      </c>
      <c r="E96" s="66" t="s">
        <v>4</v>
      </c>
      <c r="F96" s="66" t="s">
        <v>599</v>
      </c>
      <c r="G96" s="66" t="s">
        <v>4</v>
      </c>
      <c r="H96" s="66" t="s">
        <v>600</v>
      </c>
      <c r="I96" s="66" t="s">
        <v>4</v>
      </c>
      <c r="J96" s="66" t="s">
        <v>601</v>
      </c>
      <c r="K96" s="66" t="s">
        <v>4</v>
      </c>
      <c r="L96" s="67">
        <v>2.25</v>
      </c>
      <c r="M96" s="67">
        <v>0.0</v>
      </c>
      <c r="N96" s="68">
        <f t="shared" si="1"/>
        <v>2.25</v>
      </c>
      <c r="O96" s="66" t="b">
        <v>1</v>
      </c>
      <c r="P96" s="66" t="b">
        <v>1</v>
      </c>
      <c r="Q96" s="66" t="b">
        <v>1</v>
      </c>
      <c r="R96" s="66" t="s">
        <v>4</v>
      </c>
      <c r="S96" s="69"/>
      <c r="T96" s="69"/>
      <c r="U96" s="69"/>
    </row>
    <row r="97">
      <c r="A97" s="66" t="s">
        <v>602</v>
      </c>
      <c r="B97" s="66">
        <v>105.0</v>
      </c>
      <c r="C97" s="66" t="s">
        <v>575</v>
      </c>
      <c r="D97" s="66" t="s">
        <v>603</v>
      </c>
      <c r="E97" s="66" t="s">
        <v>4</v>
      </c>
      <c r="F97" s="66" t="s">
        <v>604</v>
      </c>
      <c r="G97" s="66" t="s">
        <v>4</v>
      </c>
      <c r="H97" s="66" t="s">
        <v>605</v>
      </c>
      <c r="I97" s="66" t="s">
        <v>4</v>
      </c>
      <c r="J97" s="66" t="s">
        <v>606</v>
      </c>
      <c r="K97" s="66" t="s">
        <v>4</v>
      </c>
      <c r="L97" s="67">
        <v>3.5</v>
      </c>
      <c r="M97" s="67">
        <v>0.0</v>
      </c>
      <c r="N97" s="68">
        <f t="shared" si="1"/>
        <v>3.5</v>
      </c>
      <c r="O97" s="66" t="b">
        <v>1</v>
      </c>
      <c r="P97" s="66" t="b">
        <v>1</v>
      </c>
      <c r="Q97" s="66" t="b">
        <v>1</v>
      </c>
      <c r="R97" s="66" t="s">
        <v>4</v>
      </c>
      <c r="S97" s="69"/>
      <c r="T97" s="69"/>
      <c r="U97" s="69"/>
    </row>
    <row r="98">
      <c r="A98" s="66" t="s">
        <v>607</v>
      </c>
      <c r="B98" s="66">
        <v>106.0</v>
      </c>
      <c r="C98" s="66" t="s">
        <v>575</v>
      </c>
      <c r="D98" s="66" t="s">
        <v>608</v>
      </c>
      <c r="E98" s="66" t="s">
        <v>4</v>
      </c>
      <c r="F98" s="66" t="s">
        <v>609</v>
      </c>
      <c r="G98" s="66" t="s">
        <v>4</v>
      </c>
      <c r="H98" s="66" t="s">
        <v>610</v>
      </c>
      <c r="I98" s="66" t="s">
        <v>4</v>
      </c>
      <c r="J98" s="66" t="s">
        <v>611</v>
      </c>
      <c r="K98" s="66" t="s">
        <v>4</v>
      </c>
      <c r="L98" s="67">
        <v>1.5</v>
      </c>
      <c r="M98" s="67">
        <v>0.0</v>
      </c>
      <c r="N98" s="68">
        <f t="shared" si="1"/>
        <v>1.5</v>
      </c>
      <c r="O98" s="66" t="b">
        <v>1</v>
      </c>
      <c r="P98" s="66" t="b">
        <v>1</v>
      </c>
      <c r="Q98" s="66" t="b">
        <v>1</v>
      </c>
      <c r="R98" s="66" t="s">
        <v>4</v>
      </c>
      <c r="S98" s="69"/>
      <c r="T98" s="69"/>
      <c r="U98" s="69"/>
    </row>
    <row r="99">
      <c r="A99" s="66" t="s">
        <v>612</v>
      </c>
      <c r="B99" s="66">
        <v>107.0</v>
      </c>
      <c r="C99" s="66" t="s">
        <v>575</v>
      </c>
      <c r="D99" s="66" t="s">
        <v>613</v>
      </c>
      <c r="E99" s="66" t="s">
        <v>4</v>
      </c>
      <c r="F99" s="66" t="s">
        <v>614</v>
      </c>
      <c r="G99" s="66" t="s">
        <v>4</v>
      </c>
      <c r="H99" s="66" t="s">
        <v>615</v>
      </c>
      <c r="I99" s="66" t="s">
        <v>4</v>
      </c>
      <c r="J99" s="66" t="s">
        <v>616</v>
      </c>
      <c r="K99" s="66" t="s">
        <v>4</v>
      </c>
      <c r="L99" s="67">
        <v>1.5</v>
      </c>
      <c r="M99" s="67">
        <v>0.0</v>
      </c>
      <c r="N99" s="68">
        <f t="shared" si="1"/>
        <v>1.5</v>
      </c>
      <c r="O99" s="66" t="b">
        <v>1</v>
      </c>
      <c r="P99" s="66" t="b">
        <v>1</v>
      </c>
      <c r="Q99" s="66" t="b">
        <v>1</v>
      </c>
      <c r="R99" s="66" t="s">
        <v>4</v>
      </c>
      <c r="S99" s="69"/>
      <c r="T99" s="69"/>
      <c r="U99" s="69"/>
    </row>
    <row r="100">
      <c r="A100" s="66" t="s">
        <v>617</v>
      </c>
      <c r="B100" s="66">
        <v>108.0</v>
      </c>
      <c r="C100" s="66" t="s">
        <v>575</v>
      </c>
      <c r="D100" s="66" t="s">
        <v>72</v>
      </c>
      <c r="E100" s="66" t="s">
        <v>4</v>
      </c>
      <c r="F100" s="66" t="s">
        <v>618</v>
      </c>
      <c r="G100" s="66" t="s">
        <v>4</v>
      </c>
      <c r="H100" s="66" t="s">
        <v>618</v>
      </c>
      <c r="I100" s="66" t="s">
        <v>4</v>
      </c>
      <c r="J100" s="66" t="s">
        <v>618</v>
      </c>
      <c r="K100" s="66" t="s">
        <v>4</v>
      </c>
      <c r="L100" s="67">
        <v>5.75</v>
      </c>
      <c r="M100" s="67">
        <v>0.0</v>
      </c>
      <c r="N100" s="68">
        <f t="shared" si="1"/>
        <v>5.75</v>
      </c>
      <c r="O100" s="66" t="b">
        <v>1</v>
      </c>
      <c r="P100" s="66" t="b">
        <v>1</v>
      </c>
      <c r="Q100" s="66" t="b">
        <v>1</v>
      </c>
      <c r="R100" s="66" t="s">
        <v>4</v>
      </c>
      <c r="S100" s="69"/>
      <c r="T100" s="69"/>
      <c r="U100" s="69"/>
    </row>
    <row r="101">
      <c r="A101" s="66" t="s">
        <v>619</v>
      </c>
      <c r="B101" s="66">
        <v>109.0</v>
      </c>
      <c r="C101" s="66" t="s">
        <v>575</v>
      </c>
      <c r="D101" s="66" t="s">
        <v>620</v>
      </c>
      <c r="E101" s="66" t="s">
        <v>4</v>
      </c>
      <c r="F101" s="66" t="s">
        <v>621</v>
      </c>
      <c r="G101" s="66" t="s">
        <v>4</v>
      </c>
      <c r="H101" s="66" t="s">
        <v>622</v>
      </c>
      <c r="I101" s="66" t="s">
        <v>4</v>
      </c>
      <c r="J101" s="66" t="s">
        <v>623</v>
      </c>
      <c r="K101" s="66" t="s">
        <v>4</v>
      </c>
      <c r="L101" s="67">
        <v>5.75</v>
      </c>
      <c r="M101" s="67">
        <v>0.0</v>
      </c>
      <c r="N101" s="68">
        <f t="shared" si="1"/>
        <v>5.75</v>
      </c>
      <c r="O101" s="66" t="b">
        <v>1</v>
      </c>
      <c r="P101" s="66" t="b">
        <v>1</v>
      </c>
      <c r="Q101" s="66" t="b">
        <v>1</v>
      </c>
      <c r="R101" s="66" t="s">
        <v>4</v>
      </c>
      <c r="S101" s="69"/>
      <c r="T101" s="69"/>
      <c r="U101" s="69"/>
    </row>
    <row r="102">
      <c r="A102" s="66" t="s">
        <v>624</v>
      </c>
      <c r="B102" s="66">
        <v>110.0</v>
      </c>
      <c r="C102" s="66" t="s">
        <v>575</v>
      </c>
      <c r="D102" s="66" t="s">
        <v>625</v>
      </c>
      <c r="E102" s="66" t="s">
        <v>4</v>
      </c>
      <c r="F102" s="66" t="s">
        <v>626</v>
      </c>
      <c r="G102" s="66" t="s">
        <v>4</v>
      </c>
      <c r="H102" s="66" t="s">
        <v>627</v>
      </c>
      <c r="I102" s="66" t="s">
        <v>4</v>
      </c>
      <c r="J102" s="66" t="s">
        <v>628</v>
      </c>
      <c r="K102" s="66" t="s">
        <v>4</v>
      </c>
      <c r="L102" s="67">
        <v>2.25</v>
      </c>
      <c r="M102" s="67">
        <v>0.0</v>
      </c>
      <c r="N102" s="68">
        <f t="shared" si="1"/>
        <v>2.25</v>
      </c>
      <c r="O102" s="66" t="b">
        <v>1</v>
      </c>
      <c r="P102" s="66" t="b">
        <v>1</v>
      </c>
      <c r="Q102" s="66" t="b">
        <v>1</v>
      </c>
      <c r="R102" s="66" t="s">
        <v>4</v>
      </c>
      <c r="S102" s="69"/>
      <c r="T102" s="69"/>
      <c r="U102" s="69"/>
    </row>
    <row r="103">
      <c r="A103" s="66" t="s">
        <v>629</v>
      </c>
      <c r="B103" s="66">
        <v>111.0</v>
      </c>
      <c r="C103" s="66" t="s">
        <v>575</v>
      </c>
      <c r="D103" s="66" t="s">
        <v>630</v>
      </c>
      <c r="E103" s="66" t="s">
        <v>4</v>
      </c>
      <c r="F103" s="66" t="s">
        <v>631</v>
      </c>
      <c r="G103" s="66" t="s">
        <v>4</v>
      </c>
      <c r="H103" s="66" t="s">
        <v>631</v>
      </c>
      <c r="I103" s="66" t="s">
        <v>4</v>
      </c>
      <c r="J103" s="66" t="s">
        <v>632</v>
      </c>
      <c r="K103" s="66" t="s">
        <v>4</v>
      </c>
      <c r="L103" s="67">
        <v>2.25</v>
      </c>
      <c r="M103" s="67">
        <v>0.0</v>
      </c>
      <c r="N103" s="68">
        <f t="shared" si="1"/>
        <v>2.25</v>
      </c>
      <c r="O103" s="66" t="b">
        <v>1</v>
      </c>
      <c r="P103" s="66" t="b">
        <v>1</v>
      </c>
      <c r="Q103" s="66" t="b">
        <v>1</v>
      </c>
      <c r="R103" s="66" t="s">
        <v>4</v>
      </c>
      <c r="S103" s="69"/>
      <c r="T103" s="69"/>
      <c r="U103" s="69"/>
    </row>
    <row r="104">
      <c r="A104" s="66" t="s">
        <v>633</v>
      </c>
      <c r="B104" s="66">
        <v>112.0</v>
      </c>
      <c r="C104" s="66" t="s">
        <v>575</v>
      </c>
      <c r="D104" s="66" t="s">
        <v>634</v>
      </c>
      <c r="E104" s="66" t="s">
        <v>4</v>
      </c>
      <c r="F104" s="66" t="s">
        <v>635</v>
      </c>
      <c r="G104" s="66" t="s">
        <v>4</v>
      </c>
      <c r="H104" s="66" t="s">
        <v>636</v>
      </c>
      <c r="I104" s="66" t="s">
        <v>4</v>
      </c>
      <c r="J104" s="66" t="s">
        <v>636</v>
      </c>
      <c r="K104" s="66" t="s">
        <v>4</v>
      </c>
      <c r="L104" s="67">
        <v>2.0</v>
      </c>
      <c r="M104" s="67">
        <v>0.0</v>
      </c>
      <c r="N104" s="68">
        <f t="shared" si="1"/>
        <v>2</v>
      </c>
      <c r="O104" s="66" t="b">
        <v>1</v>
      </c>
      <c r="P104" s="66" t="b">
        <v>1</v>
      </c>
      <c r="Q104" s="66" t="b">
        <v>1</v>
      </c>
      <c r="R104" s="66" t="s">
        <v>4</v>
      </c>
      <c r="S104" s="69"/>
      <c r="T104" s="69"/>
      <c r="U104" s="69"/>
    </row>
    <row r="105">
      <c r="A105" s="66" t="s">
        <v>637</v>
      </c>
      <c r="B105" s="66">
        <v>113.0</v>
      </c>
      <c r="C105" s="66" t="s">
        <v>575</v>
      </c>
      <c r="D105" s="66" t="s">
        <v>638</v>
      </c>
      <c r="E105" s="66" t="s">
        <v>4</v>
      </c>
      <c r="F105" s="66" t="s">
        <v>639</v>
      </c>
      <c r="G105" s="66" t="s">
        <v>4</v>
      </c>
      <c r="H105" s="66" t="s">
        <v>639</v>
      </c>
      <c r="I105" s="66" t="s">
        <v>4</v>
      </c>
      <c r="J105" s="66" t="s">
        <v>639</v>
      </c>
      <c r="K105" s="66" t="s">
        <v>4</v>
      </c>
      <c r="L105" s="67">
        <v>3.75</v>
      </c>
      <c r="M105" s="67">
        <v>0.0</v>
      </c>
      <c r="N105" s="68">
        <f t="shared" si="1"/>
        <v>3.75</v>
      </c>
      <c r="O105" s="66" t="b">
        <v>1</v>
      </c>
      <c r="P105" s="66" t="b">
        <v>1</v>
      </c>
      <c r="Q105" s="66" t="b">
        <v>1</v>
      </c>
      <c r="R105" s="66" t="s">
        <v>4</v>
      </c>
      <c r="S105" s="69"/>
      <c r="T105" s="69"/>
      <c r="U105" s="69"/>
    </row>
    <row r="106">
      <c r="A106" s="66" t="s">
        <v>640</v>
      </c>
      <c r="B106" s="66">
        <v>114.0</v>
      </c>
      <c r="C106" s="66" t="s">
        <v>575</v>
      </c>
      <c r="D106" s="66" t="s">
        <v>641</v>
      </c>
      <c r="E106" s="66" t="s">
        <v>4</v>
      </c>
      <c r="F106" s="66" t="s">
        <v>642</v>
      </c>
      <c r="G106" s="66" t="s">
        <v>4</v>
      </c>
      <c r="H106" s="66" t="s">
        <v>643</v>
      </c>
      <c r="I106" s="66" t="s">
        <v>4</v>
      </c>
      <c r="J106" s="66" t="s">
        <v>643</v>
      </c>
      <c r="K106" s="66" t="s">
        <v>4</v>
      </c>
      <c r="L106" s="67">
        <v>3.5</v>
      </c>
      <c r="M106" s="67">
        <v>0.0</v>
      </c>
      <c r="N106" s="68">
        <f t="shared" si="1"/>
        <v>3.5</v>
      </c>
      <c r="O106" s="66" t="b">
        <v>1</v>
      </c>
      <c r="P106" s="66" t="b">
        <v>1</v>
      </c>
      <c r="Q106" s="66" t="b">
        <v>1</v>
      </c>
      <c r="R106" s="66" t="s">
        <v>4</v>
      </c>
      <c r="S106" s="69"/>
      <c r="T106" s="69"/>
      <c r="U106" s="69"/>
    </row>
    <row r="107">
      <c r="A107" s="66" t="s">
        <v>644</v>
      </c>
      <c r="B107" s="66">
        <v>115.0</v>
      </c>
      <c r="C107" s="66" t="s">
        <v>575</v>
      </c>
      <c r="D107" s="66" t="s">
        <v>290</v>
      </c>
      <c r="E107" s="66" t="s">
        <v>4</v>
      </c>
      <c r="F107" s="66" t="s">
        <v>292</v>
      </c>
      <c r="G107" s="66" t="s">
        <v>4</v>
      </c>
      <c r="H107" s="66" t="s">
        <v>294</v>
      </c>
      <c r="I107" s="66" t="s">
        <v>4</v>
      </c>
      <c r="J107" s="66" t="s">
        <v>296</v>
      </c>
      <c r="K107" s="66" t="s">
        <v>4</v>
      </c>
      <c r="L107" s="67">
        <v>5.25</v>
      </c>
      <c r="M107" s="67">
        <v>0.0</v>
      </c>
      <c r="N107" s="68">
        <f t="shared" si="1"/>
        <v>5.25</v>
      </c>
      <c r="O107" s="66" t="b">
        <v>1</v>
      </c>
      <c r="P107" s="66" t="b">
        <v>1</v>
      </c>
      <c r="Q107" s="66" t="b">
        <v>1</v>
      </c>
      <c r="R107" s="66" t="s">
        <v>4</v>
      </c>
      <c r="S107" s="69"/>
      <c r="T107" s="69"/>
      <c r="U107" s="69"/>
    </row>
    <row r="108">
      <c r="A108" s="66" t="s">
        <v>645</v>
      </c>
      <c r="B108" s="66">
        <v>116.0</v>
      </c>
      <c r="C108" s="66" t="s">
        <v>575</v>
      </c>
      <c r="D108" s="66" t="s">
        <v>646</v>
      </c>
      <c r="E108" s="66" t="s">
        <v>4</v>
      </c>
      <c r="F108" s="66" t="s">
        <v>647</v>
      </c>
      <c r="G108" s="66" t="s">
        <v>4</v>
      </c>
      <c r="H108" s="66" t="s">
        <v>648</v>
      </c>
      <c r="I108" s="66" t="s">
        <v>4</v>
      </c>
      <c r="J108" s="66" t="s">
        <v>648</v>
      </c>
      <c r="K108" s="66" t="s">
        <v>4</v>
      </c>
      <c r="L108" s="67">
        <v>1.5</v>
      </c>
      <c r="M108" s="67">
        <v>0.0</v>
      </c>
      <c r="N108" s="68">
        <f t="shared" si="1"/>
        <v>1.5</v>
      </c>
      <c r="O108" s="66" t="b">
        <v>1</v>
      </c>
      <c r="P108" s="66" t="b">
        <v>1</v>
      </c>
      <c r="Q108" s="66" t="b">
        <v>1</v>
      </c>
      <c r="R108" s="66" t="s">
        <v>4</v>
      </c>
      <c r="S108" s="69"/>
      <c r="T108" s="69"/>
      <c r="U108" s="69"/>
    </row>
    <row r="109">
      <c r="A109" s="2" t="s">
        <v>649</v>
      </c>
      <c r="B109" s="2">
        <v>200.0</v>
      </c>
      <c r="C109" s="2" t="s">
        <v>254</v>
      </c>
      <c r="D109" s="2" t="s">
        <v>650</v>
      </c>
      <c r="E109" s="2" t="s">
        <v>651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41">
        <v>15.5</v>
      </c>
      <c r="M109" s="41">
        <v>0.0</v>
      </c>
      <c r="N109" s="9">
        <f t="shared" ref="N109:N112" si="2">IF(L109="","",L109+M109)</f>
        <v>15.5</v>
      </c>
      <c r="O109" s="2" t="b">
        <v>0</v>
      </c>
      <c r="P109" s="2" t="b">
        <v>0</v>
      </c>
      <c r="Q109" s="2" t="b">
        <v>0</v>
      </c>
      <c r="R109" s="2" t="s">
        <v>4</v>
      </c>
    </row>
    <row r="110">
      <c r="A110" s="2" t="s">
        <v>652</v>
      </c>
      <c r="B110" s="2">
        <v>201.0</v>
      </c>
      <c r="C110" s="2" t="s">
        <v>254</v>
      </c>
      <c r="D110" s="2" t="s">
        <v>653</v>
      </c>
      <c r="E110" s="2" t="s">
        <v>654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41">
        <v>16.5</v>
      </c>
      <c r="M110" s="41">
        <v>0.0</v>
      </c>
      <c r="N110" s="9">
        <f t="shared" si="2"/>
        <v>16.5</v>
      </c>
      <c r="O110" s="2" t="b">
        <v>0</v>
      </c>
      <c r="P110" s="2" t="b">
        <v>0</v>
      </c>
      <c r="Q110" s="2" t="b">
        <v>0</v>
      </c>
      <c r="R110" s="2" t="s">
        <v>4</v>
      </c>
    </row>
    <row r="111">
      <c r="A111" s="2" t="s">
        <v>655</v>
      </c>
      <c r="B111" s="2">
        <v>202.0</v>
      </c>
      <c r="C111" s="2" t="s">
        <v>28</v>
      </c>
      <c r="D111" s="2" t="s">
        <v>656</v>
      </c>
      <c r="E111" s="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41">
        <v>15.0</v>
      </c>
      <c r="M111" s="41">
        <v>0.0</v>
      </c>
      <c r="N111" s="9">
        <f t="shared" si="2"/>
        <v>15</v>
      </c>
      <c r="O111" s="2" t="b">
        <v>0</v>
      </c>
      <c r="P111" s="2" t="b">
        <v>0</v>
      </c>
      <c r="Q111" s="2" t="b">
        <v>0</v>
      </c>
      <c r="R111" s="2" t="s">
        <v>4</v>
      </c>
    </row>
    <row r="112">
      <c r="A112" s="2" t="s">
        <v>657</v>
      </c>
      <c r="B112" s="2">
        <v>203.0</v>
      </c>
      <c r="C112" s="2" t="s">
        <v>206</v>
      </c>
      <c r="D112" s="2" t="s">
        <v>658</v>
      </c>
      <c r="E112" s="2" t="s">
        <v>659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41">
        <v>18.0</v>
      </c>
      <c r="M112" s="41">
        <v>0.0</v>
      </c>
      <c r="N112" s="9">
        <f t="shared" si="2"/>
        <v>18</v>
      </c>
      <c r="O112" s="2" t="b">
        <v>0</v>
      </c>
      <c r="P112" s="2" t="b">
        <v>0</v>
      </c>
      <c r="Q112" s="2" t="b">
        <v>0</v>
      </c>
      <c r="R112" s="2" t="s">
        <v>4</v>
      </c>
    </row>
    <row r="113">
      <c r="L113" s="9"/>
      <c r="M113" s="9"/>
      <c r="N113" s="9"/>
      <c r="O113" s="8"/>
      <c r="P113" s="8"/>
      <c r="Q113" s="8"/>
    </row>
    <row r="114">
      <c r="L114" s="9"/>
      <c r="M114" s="9"/>
      <c r="N114" s="9"/>
      <c r="O114" s="8"/>
      <c r="P114" s="8"/>
      <c r="Q114" s="8"/>
    </row>
    <row r="115">
      <c r="L115" s="9"/>
      <c r="M115" s="9"/>
      <c r="N115" s="9"/>
      <c r="O115" s="8"/>
      <c r="P115" s="8"/>
      <c r="Q115" s="8"/>
    </row>
    <row r="116">
      <c r="L116" s="9"/>
      <c r="M116" s="9"/>
      <c r="N116" s="9"/>
      <c r="O116" s="8"/>
      <c r="P116" s="8"/>
      <c r="Q116" s="8"/>
    </row>
    <row r="117">
      <c r="L117" s="9"/>
      <c r="M117" s="9"/>
      <c r="N117" s="9"/>
      <c r="O117" s="8"/>
      <c r="P117" s="8"/>
      <c r="Q117" s="8"/>
    </row>
    <row r="118">
      <c r="L118" s="9"/>
      <c r="M118" s="9"/>
      <c r="N118" s="9"/>
      <c r="O118" s="8"/>
      <c r="P118" s="8"/>
      <c r="Q118" s="8"/>
    </row>
    <row r="119">
      <c r="L119" s="9"/>
      <c r="M119" s="9"/>
      <c r="N119" s="9"/>
      <c r="O119" s="8"/>
      <c r="P119" s="8"/>
      <c r="Q119" s="8"/>
    </row>
    <row r="120">
      <c r="L120" s="9"/>
      <c r="M120" s="9"/>
      <c r="N120" s="9"/>
      <c r="O120" s="8"/>
      <c r="P120" s="8"/>
      <c r="Q120" s="8"/>
    </row>
    <row r="121">
      <c r="L121" s="9"/>
      <c r="M121" s="9"/>
      <c r="N121" s="9"/>
      <c r="O121" s="8"/>
      <c r="P121" s="8"/>
      <c r="Q121" s="8"/>
    </row>
    <row r="122">
      <c r="L122" s="9"/>
      <c r="M122" s="9"/>
      <c r="N122" s="9"/>
      <c r="O122" s="8"/>
      <c r="P122" s="8"/>
      <c r="Q122" s="8"/>
    </row>
    <row r="123">
      <c r="L123" s="9"/>
      <c r="M123" s="9"/>
      <c r="N123" s="9"/>
      <c r="O123" s="8"/>
      <c r="P123" s="8"/>
      <c r="Q123" s="8"/>
    </row>
    <row r="124">
      <c r="L124" s="9"/>
      <c r="M124" s="9"/>
      <c r="N124" s="9"/>
      <c r="O124" s="8"/>
      <c r="P124" s="8"/>
      <c r="Q124" s="8"/>
    </row>
    <row r="125">
      <c r="L125" s="9"/>
      <c r="M125" s="9"/>
      <c r="N125" s="9"/>
      <c r="O125" s="8"/>
      <c r="P125" s="8"/>
      <c r="Q125" s="8"/>
    </row>
    <row r="126">
      <c r="L126" s="9"/>
      <c r="M126" s="9"/>
      <c r="N126" s="9"/>
      <c r="O126" s="8"/>
      <c r="P126" s="8"/>
      <c r="Q126" s="8"/>
    </row>
    <row r="127">
      <c r="L127" s="9"/>
      <c r="M127" s="9"/>
      <c r="N127" s="9"/>
      <c r="O127" s="8"/>
      <c r="P127" s="8"/>
      <c r="Q127" s="8"/>
    </row>
    <row r="128">
      <c r="L128" s="9"/>
      <c r="M128" s="9"/>
      <c r="N128" s="9"/>
      <c r="O128" s="8"/>
      <c r="P128" s="8"/>
      <c r="Q128" s="8"/>
    </row>
    <row r="129">
      <c r="L129" s="9"/>
      <c r="M129" s="9"/>
      <c r="N129" s="9"/>
      <c r="O129" s="8"/>
      <c r="P129" s="8"/>
      <c r="Q129" s="8"/>
    </row>
    <row r="130">
      <c r="L130" s="9"/>
      <c r="M130" s="9"/>
      <c r="N130" s="9"/>
      <c r="O130" s="8"/>
      <c r="P130" s="8"/>
      <c r="Q130" s="8"/>
    </row>
    <row r="131">
      <c r="L131" s="9"/>
      <c r="M131" s="9"/>
      <c r="N131" s="9"/>
      <c r="O131" s="8"/>
      <c r="P131" s="8"/>
      <c r="Q131" s="8"/>
    </row>
    <row r="132">
      <c r="L132" s="9"/>
      <c r="M132" s="9"/>
      <c r="N132" s="9"/>
      <c r="O132" s="8"/>
      <c r="P132" s="8"/>
      <c r="Q132" s="8"/>
    </row>
    <row r="133">
      <c r="L133" s="9"/>
      <c r="M133" s="9"/>
      <c r="N133" s="9"/>
      <c r="O133" s="8"/>
      <c r="P133" s="8"/>
      <c r="Q133" s="8"/>
    </row>
    <row r="134">
      <c r="L134" s="9"/>
      <c r="M134" s="9"/>
      <c r="N134" s="9"/>
      <c r="O134" s="8"/>
      <c r="P134" s="8"/>
      <c r="Q134" s="8"/>
    </row>
    <row r="135">
      <c r="L135" s="9"/>
      <c r="M135" s="9"/>
      <c r="N135" s="9"/>
      <c r="O135" s="8"/>
      <c r="P135" s="8"/>
      <c r="Q135" s="8"/>
    </row>
    <row r="136">
      <c r="L136" s="9"/>
      <c r="M136" s="9"/>
      <c r="N136" s="9"/>
      <c r="O136" s="8"/>
      <c r="P136" s="8"/>
      <c r="Q136" s="8"/>
    </row>
    <row r="137">
      <c r="L137" s="9"/>
      <c r="M137" s="9"/>
      <c r="N137" s="9"/>
      <c r="O137" s="8"/>
      <c r="P137" s="8"/>
      <c r="Q137" s="8"/>
    </row>
    <row r="138">
      <c r="L138" s="9"/>
      <c r="M138" s="9"/>
      <c r="N138" s="9"/>
      <c r="O138" s="8"/>
      <c r="P138" s="8"/>
      <c r="Q138" s="8"/>
    </row>
    <row r="139">
      <c r="L139" s="9"/>
      <c r="M139" s="9"/>
      <c r="N139" s="9"/>
      <c r="O139" s="8"/>
      <c r="P139" s="8"/>
      <c r="Q139" s="8"/>
    </row>
    <row r="140">
      <c r="L140" s="9"/>
      <c r="M140" s="9"/>
      <c r="N140" s="9"/>
      <c r="O140" s="8"/>
      <c r="P140" s="8"/>
      <c r="Q140" s="8"/>
    </row>
    <row r="141">
      <c r="L141" s="9"/>
      <c r="M141" s="9"/>
      <c r="N141" s="9"/>
      <c r="O141" s="8"/>
      <c r="P141" s="8"/>
      <c r="Q141" s="8"/>
    </row>
    <row r="142">
      <c r="L142" s="9"/>
      <c r="M142" s="9"/>
      <c r="N142" s="9"/>
      <c r="O142" s="8"/>
      <c r="P142" s="8"/>
      <c r="Q142" s="8"/>
    </row>
    <row r="143">
      <c r="L143" s="9"/>
      <c r="M143" s="9"/>
      <c r="N143" s="9"/>
      <c r="O143" s="8"/>
      <c r="P143" s="8"/>
      <c r="Q143" s="8"/>
    </row>
    <row r="144">
      <c r="L144" s="9"/>
      <c r="M144" s="9"/>
      <c r="N144" s="9"/>
      <c r="O144" s="8"/>
      <c r="P144" s="8"/>
      <c r="Q144" s="8"/>
    </row>
    <row r="145">
      <c r="L145" s="9"/>
      <c r="M145" s="9"/>
      <c r="N145" s="9"/>
      <c r="O145" s="8"/>
      <c r="P145" s="8"/>
      <c r="Q145" s="8"/>
    </row>
    <row r="146">
      <c r="L146" s="9"/>
      <c r="M146" s="9"/>
      <c r="N146" s="9"/>
      <c r="O146" s="8"/>
      <c r="P146" s="8"/>
      <c r="Q146" s="8"/>
    </row>
    <row r="147">
      <c r="L147" s="9"/>
      <c r="M147" s="9"/>
      <c r="N147" s="9"/>
      <c r="O147" s="8"/>
      <c r="P147" s="8"/>
      <c r="Q147" s="8"/>
    </row>
    <row r="148">
      <c r="L148" s="9"/>
      <c r="M148" s="9"/>
      <c r="N148" s="9"/>
      <c r="O148" s="8"/>
      <c r="P148" s="8"/>
      <c r="Q148" s="8"/>
    </row>
    <row r="149">
      <c r="L149" s="9"/>
      <c r="M149" s="9"/>
      <c r="N149" s="9"/>
      <c r="O149" s="8"/>
      <c r="P149" s="8"/>
      <c r="Q149" s="8"/>
    </row>
    <row r="150">
      <c r="L150" s="9"/>
      <c r="M150" s="9"/>
      <c r="N150" s="9"/>
      <c r="O150" s="8"/>
      <c r="P150" s="8"/>
      <c r="Q150" s="8"/>
    </row>
    <row r="151">
      <c r="L151" s="9"/>
      <c r="M151" s="9"/>
      <c r="N151" s="9"/>
      <c r="O151" s="8"/>
      <c r="P151" s="8"/>
      <c r="Q151" s="8"/>
    </row>
    <row r="152">
      <c r="L152" s="9"/>
      <c r="M152" s="9"/>
      <c r="N152" s="9"/>
      <c r="O152" s="8"/>
      <c r="P152" s="8"/>
      <c r="Q152" s="8"/>
    </row>
    <row r="153">
      <c r="L153" s="9"/>
      <c r="M153" s="9"/>
      <c r="N153" s="9"/>
      <c r="O153" s="8"/>
      <c r="P153" s="8"/>
      <c r="Q153" s="8"/>
    </row>
    <row r="154">
      <c r="L154" s="9"/>
      <c r="M154" s="9"/>
      <c r="N154" s="9"/>
      <c r="O154" s="8"/>
      <c r="P154" s="8"/>
      <c r="Q154" s="8"/>
    </row>
    <row r="155">
      <c r="L155" s="9"/>
      <c r="M155" s="9"/>
      <c r="N155" s="9"/>
      <c r="O155" s="8"/>
      <c r="P155" s="8"/>
      <c r="Q155" s="8"/>
    </row>
    <row r="156">
      <c r="L156" s="9"/>
      <c r="M156" s="9"/>
      <c r="N156" s="9"/>
      <c r="O156" s="8"/>
      <c r="P156" s="8"/>
      <c r="Q156" s="8"/>
    </row>
    <row r="157">
      <c r="L157" s="9"/>
      <c r="M157" s="9"/>
      <c r="N157" s="9"/>
      <c r="O157" s="8"/>
      <c r="P157" s="8"/>
      <c r="Q157" s="8"/>
    </row>
    <row r="158">
      <c r="L158" s="9"/>
      <c r="M158" s="9"/>
      <c r="N158" s="9"/>
      <c r="O158" s="8"/>
      <c r="P158" s="8"/>
      <c r="Q158" s="8"/>
    </row>
    <row r="159">
      <c r="L159" s="9"/>
      <c r="M159" s="9"/>
      <c r="N159" s="9"/>
      <c r="O159" s="8"/>
      <c r="P159" s="8"/>
      <c r="Q159" s="8"/>
    </row>
    <row r="160">
      <c r="L160" s="9"/>
      <c r="M160" s="9"/>
      <c r="N160" s="9"/>
      <c r="O160" s="8"/>
      <c r="P160" s="8"/>
      <c r="Q160" s="8"/>
    </row>
    <row r="161">
      <c r="L161" s="9"/>
      <c r="M161" s="9"/>
      <c r="N161" s="9"/>
      <c r="O161" s="8"/>
      <c r="P161" s="8"/>
      <c r="Q161" s="8"/>
    </row>
    <row r="162">
      <c r="L162" s="9"/>
      <c r="M162" s="9"/>
      <c r="N162" s="9"/>
      <c r="O162" s="8"/>
      <c r="P162" s="8"/>
      <c r="Q162" s="8"/>
    </row>
    <row r="163">
      <c r="L163" s="9"/>
      <c r="M163" s="9"/>
      <c r="N163" s="9"/>
      <c r="O163" s="8"/>
      <c r="P163" s="8"/>
      <c r="Q163" s="8"/>
    </row>
    <row r="164">
      <c r="L164" s="9"/>
      <c r="M164" s="9"/>
      <c r="N164" s="9"/>
      <c r="O164" s="8"/>
      <c r="P164" s="8"/>
      <c r="Q164" s="8"/>
    </row>
    <row r="165">
      <c r="L165" s="9"/>
      <c r="M165" s="9"/>
      <c r="N165" s="9"/>
      <c r="O165" s="8"/>
      <c r="P165" s="8"/>
      <c r="Q165" s="8"/>
    </row>
    <row r="166">
      <c r="L166" s="9"/>
      <c r="M166" s="9"/>
      <c r="N166" s="9"/>
      <c r="O166" s="8"/>
      <c r="P166" s="8"/>
      <c r="Q166" s="8"/>
    </row>
    <row r="167">
      <c r="L167" s="9"/>
      <c r="M167" s="9"/>
      <c r="N167" s="9"/>
      <c r="O167" s="8"/>
      <c r="P167" s="8"/>
      <c r="Q167" s="8"/>
    </row>
    <row r="168">
      <c r="L168" s="9"/>
      <c r="M168" s="9"/>
      <c r="N168" s="9"/>
      <c r="O168" s="8"/>
      <c r="P168" s="8"/>
      <c r="Q168" s="8"/>
    </row>
    <row r="169">
      <c r="L169" s="9"/>
      <c r="M169" s="9"/>
      <c r="N169" s="9"/>
      <c r="O169" s="8"/>
      <c r="P169" s="8"/>
      <c r="Q169" s="8"/>
    </row>
    <row r="170">
      <c r="L170" s="9"/>
      <c r="M170" s="9"/>
      <c r="N170" s="9"/>
      <c r="O170" s="8"/>
      <c r="P170" s="8"/>
      <c r="Q170" s="8"/>
    </row>
    <row r="171">
      <c r="L171" s="9"/>
      <c r="M171" s="9"/>
      <c r="N171" s="9"/>
      <c r="O171" s="8"/>
      <c r="P171" s="8"/>
      <c r="Q171" s="8"/>
    </row>
    <row r="172">
      <c r="L172" s="9"/>
      <c r="M172" s="9"/>
      <c r="N172" s="9"/>
      <c r="O172" s="8"/>
      <c r="P172" s="8"/>
      <c r="Q172" s="8"/>
    </row>
    <row r="173">
      <c r="L173" s="9"/>
      <c r="M173" s="9"/>
      <c r="N173" s="9"/>
      <c r="O173" s="8"/>
      <c r="P173" s="8"/>
      <c r="Q173" s="8"/>
    </row>
    <row r="174">
      <c r="L174" s="9"/>
      <c r="M174" s="9"/>
      <c r="N174" s="9"/>
      <c r="O174" s="8"/>
      <c r="P174" s="8"/>
      <c r="Q174" s="8"/>
    </row>
    <row r="175">
      <c r="L175" s="9"/>
      <c r="M175" s="9"/>
      <c r="N175" s="9"/>
      <c r="O175" s="8"/>
      <c r="P175" s="8"/>
      <c r="Q175" s="8"/>
    </row>
    <row r="176">
      <c r="L176" s="9"/>
      <c r="M176" s="9"/>
      <c r="N176" s="9"/>
      <c r="O176" s="8"/>
      <c r="P176" s="8"/>
      <c r="Q176" s="8"/>
    </row>
    <row r="177">
      <c r="L177" s="9"/>
      <c r="M177" s="9"/>
      <c r="N177" s="9"/>
      <c r="O177" s="8"/>
      <c r="P177" s="8"/>
      <c r="Q177" s="8"/>
    </row>
    <row r="178">
      <c r="L178" s="9"/>
      <c r="M178" s="9"/>
      <c r="N178" s="9"/>
      <c r="O178" s="8"/>
      <c r="P178" s="8"/>
      <c r="Q178" s="8"/>
    </row>
    <row r="179">
      <c r="L179" s="9"/>
      <c r="M179" s="9"/>
      <c r="N179" s="9"/>
      <c r="O179" s="8"/>
      <c r="P179" s="8"/>
      <c r="Q179" s="8"/>
    </row>
    <row r="180">
      <c r="L180" s="9"/>
      <c r="M180" s="9"/>
      <c r="N180" s="9"/>
      <c r="O180" s="8"/>
      <c r="P180" s="8"/>
      <c r="Q180" s="8"/>
    </row>
    <row r="181">
      <c r="L181" s="9"/>
      <c r="M181" s="9"/>
      <c r="N181" s="9"/>
      <c r="O181" s="8"/>
      <c r="P181" s="8"/>
      <c r="Q181" s="8"/>
    </row>
    <row r="182">
      <c r="L182" s="9"/>
      <c r="M182" s="9"/>
      <c r="N182" s="9"/>
      <c r="O182" s="8"/>
      <c r="P182" s="8"/>
      <c r="Q182" s="8"/>
    </row>
    <row r="183">
      <c r="L183" s="9"/>
      <c r="M183" s="9"/>
      <c r="N183" s="9"/>
      <c r="O183" s="8"/>
      <c r="P183" s="8"/>
      <c r="Q183" s="8"/>
    </row>
    <row r="184">
      <c r="L184" s="9"/>
      <c r="M184" s="9"/>
      <c r="N184" s="9"/>
      <c r="O184" s="8"/>
      <c r="P184" s="8"/>
      <c r="Q184" s="8"/>
    </row>
    <row r="185">
      <c r="L185" s="9"/>
      <c r="M185" s="9"/>
      <c r="N185" s="9"/>
      <c r="O185" s="8"/>
      <c r="P185" s="8"/>
      <c r="Q185" s="8"/>
    </row>
    <row r="186">
      <c r="L186" s="9"/>
      <c r="M186" s="9"/>
      <c r="N186" s="9"/>
      <c r="O186" s="8"/>
      <c r="P186" s="8"/>
      <c r="Q186" s="8"/>
    </row>
    <row r="187">
      <c r="L187" s="9"/>
      <c r="M187" s="9"/>
      <c r="N187" s="9"/>
      <c r="O187" s="8"/>
      <c r="P187" s="8"/>
      <c r="Q187" s="8"/>
    </row>
    <row r="188">
      <c r="L188" s="9"/>
      <c r="M188" s="9"/>
      <c r="N188" s="9"/>
      <c r="O188" s="8"/>
      <c r="P188" s="8"/>
      <c r="Q188" s="8"/>
    </row>
    <row r="189">
      <c r="L189" s="9"/>
      <c r="M189" s="9"/>
      <c r="N189" s="9"/>
      <c r="O189" s="8"/>
      <c r="P189" s="8"/>
      <c r="Q189" s="8"/>
    </row>
    <row r="190">
      <c r="L190" s="9"/>
      <c r="M190" s="9"/>
      <c r="N190" s="9"/>
      <c r="O190" s="8"/>
      <c r="P190" s="8"/>
      <c r="Q190" s="8"/>
    </row>
    <row r="191">
      <c r="L191" s="9"/>
      <c r="M191" s="9"/>
      <c r="N191" s="9"/>
      <c r="O191" s="8"/>
      <c r="P191" s="8"/>
      <c r="Q191" s="8"/>
    </row>
    <row r="192">
      <c r="L192" s="9"/>
      <c r="M192" s="9"/>
      <c r="N192" s="9"/>
      <c r="O192" s="8"/>
      <c r="P192" s="8"/>
      <c r="Q192" s="8"/>
    </row>
    <row r="193">
      <c r="L193" s="9"/>
      <c r="M193" s="9"/>
      <c r="N193" s="9"/>
      <c r="O193" s="8"/>
      <c r="P193" s="8"/>
      <c r="Q193" s="8"/>
    </row>
    <row r="194">
      <c r="L194" s="9"/>
      <c r="M194" s="9"/>
      <c r="N194" s="9"/>
      <c r="O194" s="8"/>
      <c r="P194" s="8"/>
      <c r="Q194" s="8"/>
    </row>
    <row r="195">
      <c r="L195" s="9"/>
      <c r="M195" s="9"/>
      <c r="N195" s="9"/>
      <c r="O195" s="8"/>
      <c r="P195" s="8"/>
      <c r="Q195" s="8"/>
    </row>
    <row r="196">
      <c r="L196" s="9"/>
      <c r="M196" s="9"/>
      <c r="N196" s="9"/>
      <c r="O196" s="8"/>
      <c r="P196" s="8"/>
      <c r="Q196" s="8"/>
    </row>
    <row r="197">
      <c r="L197" s="9"/>
      <c r="M197" s="9"/>
      <c r="N197" s="9"/>
      <c r="O197" s="8"/>
      <c r="P197" s="8"/>
      <c r="Q197" s="8"/>
    </row>
    <row r="198">
      <c r="L198" s="9"/>
      <c r="M198" s="9"/>
      <c r="N198" s="9"/>
      <c r="O198" s="8"/>
      <c r="P198" s="8"/>
      <c r="Q198" s="8"/>
    </row>
    <row r="199">
      <c r="L199" s="9"/>
      <c r="M199" s="9"/>
      <c r="N199" s="9"/>
      <c r="O199" s="8"/>
      <c r="P199" s="8"/>
      <c r="Q199" s="8"/>
    </row>
    <row r="200">
      <c r="L200" s="9"/>
      <c r="M200" s="9"/>
      <c r="N200" s="9"/>
      <c r="O200" s="8"/>
      <c r="P200" s="8"/>
      <c r="Q200" s="8"/>
    </row>
    <row r="201">
      <c r="L201" s="9"/>
      <c r="M201" s="9"/>
      <c r="N201" s="9"/>
      <c r="O201" s="8"/>
      <c r="P201" s="8"/>
      <c r="Q201" s="8"/>
    </row>
    <row r="202">
      <c r="L202" s="9"/>
      <c r="M202" s="9"/>
      <c r="N202" s="9"/>
      <c r="O202" s="8"/>
      <c r="P202" s="8"/>
      <c r="Q202" s="8"/>
    </row>
    <row r="203">
      <c r="L203" s="9"/>
      <c r="M203" s="9"/>
      <c r="N203" s="9"/>
      <c r="O203" s="8"/>
      <c r="P203" s="8"/>
      <c r="Q203" s="8"/>
    </row>
    <row r="204">
      <c r="L204" s="9"/>
      <c r="M204" s="9"/>
      <c r="N204" s="9"/>
      <c r="O204" s="8"/>
      <c r="P204" s="8"/>
      <c r="Q204" s="8"/>
    </row>
    <row r="205">
      <c r="L205" s="9"/>
      <c r="M205" s="9"/>
      <c r="N205" s="9"/>
      <c r="O205" s="8"/>
      <c r="P205" s="8"/>
      <c r="Q205" s="8"/>
    </row>
    <row r="206">
      <c r="L206" s="9"/>
      <c r="M206" s="9"/>
      <c r="N206" s="9"/>
      <c r="O206" s="8"/>
      <c r="P206" s="8"/>
      <c r="Q206" s="8"/>
    </row>
    <row r="207">
      <c r="L207" s="9"/>
      <c r="M207" s="9"/>
      <c r="N207" s="9"/>
      <c r="O207" s="8"/>
      <c r="P207" s="8"/>
      <c r="Q207" s="8"/>
    </row>
    <row r="208">
      <c r="L208" s="9"/>
      <c r="M208" s="9"/>
      <c r="N208" s="9"/>
      <c r="O208" s="8"/>
      <c r="P208" s="8"/>
      <c r="Q208" s="8"/>
    </row>
    <row r="209">
      <c r="L209" s="9"/>
      <c r="M209" s="9"/>
      <c r="N209" s="9"/>
      <c r="O209" s="8"/>
      <c r="P209" s="8"/>
      <c r="Q209" s="8"/>
    </row>
    <row r="210">
      <c r="L210" s="9"/>
      <c r="M210" s="9"/>
      <c r="N210" s="9"/>
      <c r="O210" s="8"/>
      <c r="P210" s="8"/>
      <c r="Q210" s="8"/>
    </row>
    <row r="211">
      <c r="L211" s="9"/>
      <c r="M211" s="9"/>
      <c r="N211" s="9"/>
      <c r="O211" s="8"/>
      <c r="P211" s="8"/>
      <c r="Q211" s="8"/>
    </row>
    <row r="212">
      <c r="L212" s="9"/>
      <c r="M212" s="9"/>
      <c r="N212" s="9"/>
      <c r="O212" s="8"/>
      <c r="P212" s="8"/>
      <c r="Q212" s="8"/>
    </row>
    <row r="213">
      <c r="L213" s="9"/>
      <c r="M213" s="9"/>
      <c r="N213" s="9"/>
      <c r="O213" s="8"/>
      <c r="P213" s="8"/>
      <c r="Q213" s="8"/>
    </row>
    <row r="214">
      <c r="L214" s="9"/>
      <c r="M214" s="9"/>
      <c r="N214" s="9"/>
      <c r="O214" s="8"/>
      <c r="P214" s="8"/>
      <c r="Q214" s="8"/>
    </row>
    <row r="215">
      <c r="L215" s="9"/>
      <c r="M215" s="9"/>
      <c r="N215" s="9"/>
      <c r="O215" s="8"/>
      <c r="P215" s="8"/>
      <c r="Q215" s="8"/>
    </row>
    <row r="216">
      <c r="L216" s="9"/>
      <c r="M216" s="9"/>
      <c r="N216" s="9"/>
      <c r="O216" s="8"/>
      <c r="P216" s="8"/>
      <c r="Q216" s="8"/>
    </row>
    <row r="217">
      <c r="L217" s="9"/>
      <c r="M217" s="9"/>
      <c r="N217" s="9"/>
      <c r="O217" s="8"/>
      <c r="P217" s="8"/>
      <c r="Q217" s="8"/>
    </row>
    <row r="218">
      <c r="L218" s="9"/>
      <c r="M218" s="9"/>
      <c r="N218" s="9"/>
      <c r="O218" s="8"/>
      <c r="P218" s="8"/>
      <c r="Q218" s="8"/>
    </row>
    <row r="219">
      <c r="L219" s="9"/>
      <c r="M219" s="9"/>
      <c r="N219" s="9"/>
      <c r="O219" s="8"/>
      <c r="P219" s="8"/>
      <c r="Q219" s="8"/>
    </row>
    <row r="220">
      <c r="L220" s="9"/>
      <c r="M220" s="9"/>
      <c r="N220" s="9"/>
      <c r="O220" s="8"/>
      <c r="P220" s="8"/>
      <c r="Q220" s="8"/>
    </row>
    <row r="221">
      <c r="L221" s="9"/>
      <c r="M221" s="9"/>
      <c r="N221" s="9"/>
      <c r="O221" s="8"/>
      <c r="P221" s="8"/>
      <c r="Q221" s="8"/>
    </row>
    <row r="222">
      <c r="L222" s="9"/>
      <c r="M222" s="9"/>
      <c r="N222" s="9"/>
      <c r="O222" s="8"/>
      <c r="P222" s="8"/>
      <c r="Q222" s="8"/>
    </row>
    <row r="223">
      <c r="L223" s="9"/>
      <c r="M223" s="9"/>
      <c r="N223" s="9"/>
      <c r="O223" s="8"/>
      <c r="P223" s="8"/>
      <c r="Q223" s="8"/>
    </row>
    <row r="224">
      <c r="L224" s="9"/>
      <c r="M224" s="9"/>
      <c r="N224" s="9"/>
      <c r="O224" s="8"/>
      <c r="P224" s="8"/>
      <c r="Q224" s="8"/>
    </row>
    <row r="225">
      <c r="L225" s="9"/>
      <c r="M225" s="9"/>
      <c r="N225" s="9"/>
      <c r="O225" s="8"/>
      <c r="P225" s="8"/>
      <c r="Q225" s="8"/>
    </row>
    <row r="226">
      <c r="L226" s="9"/>
      <c r="M226" s="9"/>
      <c r="N226" s="9"/>
      <c r="O226" s="8"/>
      <c r="P226" s="8"/>
      <c r="Q226" s="8"/>
    </row>
    <row r="227">
      <c r="L227" s="9"/>
      <c r="M227" s="9"/>
      <c r="N227" s="9"/>
      <c r="O227" s="8"/>
      <c r="P227" s="8"/>
      <c r="Q227" s="8"/>
    </row>
    <row r="228">
      <c r="L228" s="9"/>
      <c r="M228" s="9"/>
      <c r="N228" s="9"/>
      <c r="O228" s="8"/>
      <c r="P228" s="8"/>
      <c r="Q228" s="8"/>
    </row>
    <row r="229">
      <c r="L229" s="9"/>
      <c r="M229" s="9"/>
      <c r="N229" s="9"/>
      <c r="O229" s="8"/>
      <c r="P229" s="8"/>
      <c r="Q229" s="8"/>
    </row>
    <row r="230">
      <c r="L230" s="9"/>
      <c r="M230" s="9"/>
      <c r="N230" s="9"/>
      <c r="O230" s="8"/>
      <c r="P230" s="8"/>
      <c r="Q230" s="8"/>
    </row>
    <row r="231">
      <c r="L231" s="9"/>
      <c r="M231" s="9"/>
      <c r="N231" s="9"/>
      <c r="O231" s="8"/>
      <c r="P231" s="8"/>
      <c r="Q231" s="8"/>
    </row>
    <row r="232">
      <c r="L232" s="9"/>
      <c r="M232" s="9"/>
      <c r="N232" s="9"/>
      <c r="O232" s="8"/>
      <c r="P232" s="8"/>
      <c r="Q232" s="8"/>
    </row>
    <row r="233">
      <c r="L233" s="9"/>
      <c r="M233" s="9"/>
      <c r="N233" s="9"/>
      <c r="O233" s="8"/>
      <c r="P233" s="8"/>
      <c r="Q233" s="8"/>
    </row>
    <row r="234">
      <c r="L234" s="9"/>
      <c r="M234" s="9"/>
      <c r="N234" s="9"/>
      <c r="O234" s="8"/>
      <c r="P234" s="8"/>
      <c r="Q234" s="8"/>
    </row>
    <row r="235">
      <c r="L235" s="9"/>
      <c r="M235" s="9"/>
      <c r="N235" s="9"/>
      <c r="O235" s="8"/>
      <c r="P235" s="8"/>
      <c r="Q235" s="8"/>
    </row>
    <row r="236">
      <c r="L236" s="9"/>
      <c r="M236" s="9"/>
      <c r="N236" s="9"/>
      <c r="O236" s="8"/>
      <c r="P236" s="8"/>
      <c r="Q236" s="8"/>
    </row>
    <row r="237">
      <c r="L237" s="9"/>
      <c r="M237" s="9"/>
      <c r="N237" s="9"/>
      <c r="O237" s="8"/>
      <c r="P237" s="8"/>
      <c r="Q237" s="8"/>
    </row>
    <row r="238">
      <c r="L238" s="9"/>
      <c r="M238" s="9"/>
      <c r="N238" s="9"/>
      <c r="O238" s="8"/>
      <c r="P238" s="8"/>
      <c r="Q238" s="8"/>
    </row>
    <row r="239">
      <c r="L239" s="9"/>
      <c r="M239" s="9"/>
      <c r="N239" s="9"/>
      <c r="O239" s="8"/>
      <c r="P239" s="8"/>
      <c r="Q239" s="8"/>
    </row>
    <row r="240">
      <c r="L240" s="9"/>
      <c r="M240" s="9"/>
      <c r="N240" s="9"/>
      <c r="O240" s="8"/>
      <c r="P240" s="8"/>
      <c r="Q240" s="8"/>
    </row>
    <row r="241">
      <c r="L241" s="9"/>
      <c r="M241" s="9"/>
      <c r="N241" s="9"/>
      <c r="O241" s="8"/>
      <c r="P241" s="8"/>
      <c r="Q241" s="8"/>
    </row>
    <row r="242">
      <c r="L242" s="9"/>
      <c r="M242" s="9"/>
      <c r="N242" s="9"/>
      <c r="O242" s="8"/>
      <c r="P242" s="8"/>
      <c r="Q242" s="8"/>
    </row>
    <row r="243">
      <c r="L243" s="9"/>
      <c r="M243" s="9"/>
      <c r="N243" s="9"/>
      <c r="O243" s="8"/>
      <c r="P243" s="8"/>
      <c r="Q243" s="8"/>
    </row>
    <row r="244">
      <c r="L244" s="9"/>
      <c r="M244" s="9"/>
      <c r="N244" s="9"/>
      <c r="O244" s="8"/>
      <c r="P244" s="8"/>
      <c r="Q244" s="8"/>
    </row>
    <row r="245">
      <c r="L245" s="9"/>
      <c r="M245" s="9"/>
      <c r="N245" s="9"/>
      <c r="O245" s="8"/>
      <c r="P245" s="8"/>
      <c r="Q245" s="8"/>
    </row>
    <row r="246">
      <c r="L246" s="9"/>
      <c r="M246" s="9"/>
      <c r="N246" s="9"/>
      <c r="O246" s="8"/>
      <c r="P246" s="8"/>
      <c r="Q246" s="8"/>
    </row>
    <row r="247">
      <c r="L247" s="9"/>
      <c r="M247" s="9"/>
      <c r="N247" s="9"/>
      <c r="O247" s="8"/>
      <c r="P247" s="8"/>
      <c r="Q247" s="8"/>
    </row>
    <row r="248">
      <c r="L248" s="9"/>
      <c r="M248" s="9"/>
      <c r="N248" s="9"/>
      <c r="O248" s="8"/>
      <c r="P248" s="8"/>
      <c r="Q248" s="8"/>
    </row>
    <row r="249">
      <c r="L249" s="9"/>
      <c r="M249" s="9"/>
      <c r="N249" s="9"/>
      <c r="O249" s="8"/>
      <c r="P249" s="8"/>
      <c r="Q249" s="8"/>
    </row>
    <row r="250">
      <c r="L250" s="9"/>
      <c r="M250" s="9"/>
      <c r="N250" s="9"/>
      <c r="O250" s="8"/>
      <c r="P250" s="8"/>
      <c r="Q2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55.13"/>
  </cols>
  <sheetData>
    <row r="1" ht="28.5" customHeight="1">
      <c r="A1" s="1" t="s">
        <v>1</v>
      </c>
      <c r="B1" s="1" t="s">
        <v>4</v>
      </c>
    </row>
    <row r="2">
      <c r="A2" s="2" t="s">
        <v>7</v>
      </c>
      <c r="B2" s="2" t="s">
        <v>4</v>
      </c>
    </row>
    <row r="3">
      <c r="A3" s="2" t="s">
        <v>18</v>
      </c>
      <c r="B3" s="5" t="s">
        <v>37</v>
      </c>
    </row>
    <row r="4">
      <c r="A4" s="2" t="s">
        <v>38</v>
      </c>
      <c r="B4" s="5" t="s">
        <v>39</v>
      </c>
    </row>
    <row r="5">
      <c r="A5" s="2" t="s">
        <v>4</v>
      </c>
      <c r="B5" s="2" t="s">
        <v>4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  <row r="8">
      <c r="A8" s="2" t="s">
        <v>44</v>
      </c>
      <c r="B8" s="2" t="s">
        <v>45</v>
      </c>
    </row>
    <row r="9">
      <c r="A9" s="2" t="s">
        <v>46</v>
      </c>
      <c r="B9" s="2" t="s">
        <v>47</v>
      </c>
    </row>
    <row r="10">
      <c r="A10" s="2" t="s">
        <v>48</v>
      </c>
      <c r="B10" s="2" t="s">
        <v>49</v>
      </c>
    </row>
    <row r="11">
      <c r="A11" s="2" t="s">
        <v>50</v>
      </c>
      <c r="B11" s="2" t="s">
        <v>51</v>
      </c>
    </row>
  </sheetData>
  <dataValidations>
    <dataValidation type="list" allowBlank="1" showErrorMessage="1" sqref="B4">
      <formula1>"CAT,ES,FR,EN"</formula1>
    </dataValidation>
    <dataValidation type="list" allowBlank="1" showErrorMessage="1" sqref="B3">
      <formula1>"TODAS,RESTAURANTE,WEB,DELIVERY"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88"/>
  </cols>
  <sheetData>
    <row r="1" ht="28.5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16</v>
      </c>
    </row>
    <row r="2">
      <c r="A2" s="8" t="str">
        <f>IFERROR(__xludf.DUMMYFUNCTION("IF(CONTROL!B3=""TODAS"",IFERROR(FILTER(HSTACK(MAESTRA!A2:A200,MAESTRA!C2:C200,IF(CONTROL!$B$4=""CAT"",MAESTRA!D2:D200,IF(CONTROL!$B$4=""ES"",MAESTRA!F2:F200,IF(CONTROL!$B$4=""FR"",MAESTRA!H2:H200,MAESTRA!J2:J200))),IF(CONTROL!$B$4=""CAT"",MAESTRA!E2:E200,"&amp;"IF(CONTROL!$B$4=""ES"",MAESTRA!G2:G200,IF(CONTROL!$B$4=""FR"",MAESTRA!I2:I200,MAESTRA!K2:K200))),MAESTRA!L2:L200,MAESTRA!R2:R200),MAESTRA!A2:A200&lt;&gt;"""",MAESTRA!A2:A200&lt;&gt;""""),""""),IF(CONTROL!B3=""RESTAURANTE"",IFERROR(FILTER(HSTACK(MAESTRA!A2:A200,MAESTR"&amp;"A!C2:C200,IF(CONTROL!$B$4=""CAT"",MAESTRA!D2:D200,IF(CONTROL!$B$4=""ES"",MAESTRA!F2:F200,IF(CONTROL!$B$4=""FR"",MAESTRA!H2:H200,MAESTRA!J2:J200))),IF(CONTROL!$B$4=""CAT"",MAESTRA!E2:E200,IF(CONTROL!$B$4=""ES"",MAESTRA!G2:G200,IF(CONTROL!$B$4=""FR"",MAESTR"&amp;"A!I2:I200,MAESTRA!K2:K200))),MAESTRA!L2:L200,MAESTRA!R2:R200),MAESTRA!A2:A200&lt;&gt;"""",MAESTRA!O2:O200=TRUE),""""),IF(CONTROL!B3=""DELIVERY"",IFERROR(FILTER(HSTACK(MAESTRA!A2:A200,MAESTRA!C2:C200,IF(CONTROL!$B$4=""CAT"",MAESTRA!D2:D200,IF(CONTROL!$B$4=""ES"""&amp;",MAESTRA!F2:F200,IF(CONTROL!$B$4=""FR"",MAESTRA!H2:H200,MAESTRA!J2:J200))),IF(CONTROL!$B$4=""CAT"",MAESTRA!E2:E200,IF(CONTROL!$B$4=""ES"",MAESTRA!G2:G200,IF(CONTROL!$B$4=""FR"",MAESTRA!I2:I200,MAESTRA!K2:K200))),MAESTRA!N2:N200,MAESTRA!R2:R200),MAESTRA!A2"&amp;":A200&lt;&gt;"""",MAESTRA!Q2:Q200=TRUE),""""),IFERROR(FILTER(HSTACK(MAESTRA!A2:A200,MAESTRA!C2:C200,IF(CONTROL!$B$4=""CAT"",MAESTRA!D2:D200,IF(CONTROL!$B$4=""ES"",MAESTRA!F2:F200,IF(CONTROL!$B$4=""FR"",MAESTRA!H2:H200,MAESTRA!J2:J200))),IF(CONTROL!$B$4=""CAT"","&amp;"MAESTRA!E2:E200,IF(CONTROL!$B$4=""ES"",MAESTRA!G2:G200,IF(CONTROL!$B$4=""FR"",MAESTRA!I2:I200,MAESTRA!K2:K200))),MAESTRA!L2:L200,MAESTRA!R2:R200),MAESTRA!A2:A200&lt;&gt;"""",MAESTRA!P2:P200=TRUE),""""))))"),"BC-001")</f>
        <v>BC-001</v>
      </c>
      <c r="B2" s="8" t="str">
        <f>IFERROR(__xludf.DUMMYFUNCTION("""COMPUTED_VALUE"""),"entrants")</f>
        <v>entrants</v>
      </c>
      <c r="C2" s="8" t="str">
        <f>IFERROR(__xludf.DUMMYFUNCTION("""COMPUTED_VALUE"""),"PA DE PIZZA")</f>
        <v>PA DE PIZZA</v>
      </c>
      <c r="D2" s="8" t="str">
        <f>IFERROR(__xludf.DUMMYFUNCTION("""COMPUTED_VALUE"""),"Massa normal / integral")</f>
        <v>Massa normal / integral</v>
      </c>
      <c r="E2" s="9">
        <f>IFERROR(__xludf.DUMMYFUNCTION("""COMPUTED_VALUE"""),5.0)</f>
        <v>5</v>
      </c>
      <c r="F2" s="8" t="str">
        <f>IFERROR(__xludf.DUMMYFUNCTION("""COMPUTED_VALUE"""),"")</f>
        <v/>
      </c>
    </row>
    <row r="3">
      <c r="A3" s="8" t="str">
        <f>IFERROR(__xludf.DUMMYFUNCTION("""COMPUTED_VALUE"""),"BC-002")</f>
        <v>BC-002</v>
      </c>
      <c r="B3" s="8" t="str">
        <f>IFERROR(__xludf.DUMMYFUNCTION("""COMPUTED_VALUE"""),"entrants")</f>
        <v>entrants</v>
      </c>
      <c r="C3" s="8" t="str">
        <f>IFERROR(__xludf.DUMMYFUNCTION("""COMPUTED_VALUE"""),"FOCACCIA")</f>
        <v>FOCACCIA</v>
      </c>
      <c r="D3" s="8" t="str">
        <f>IFERROR(__xludf.DUMMYFUNCTION("""COMPUTED_VALUE"""),"")</f>
        <v/>
      </c>
      <c r="E3" s="9">
        <f>IFERROR(__xludf.DUMMYFUNCTION("""COMPUTED_VALUE"""),5.0)</f>
        <v>5</v>
      </c>
      <c r="F3" s="8" t="str">
        <f>IFERROR(__xludf.DUMMYFUNCTION("""COMPUTED_VALUE"""),"")</f>
        <v/>
      </c>
    </row>
    <row r="4">
      <c r="A4" s="8" t="str">
        <f>IFERROR(__xludf.DUMMYFUNCTION("""COMPUTED_VALUE"""),"BC-003")</f>
        <v>BC-003</v>
      </c>
      <c r="B4" s="8" t="str">
        <f>IFERROR(__xludf.DUMMYFUNCTION("""COMPUTED_VALUE"""),"entrants")</f>
        <v>entrants</v>
      </c>
      <c r="C4" s="8" t="str">
        <f>IFERROR(__xludf.DUMMYFUNCTION("""COMPUTED_VALUE"""),"PROVOLONE")</f>
        <v>PROVOLONE</v>
      </c>
      <c r="D4" s="8" t="str">
        <f>IFERROR(__xludf.DUMMYFUNCTION("""COMPUTED_VALUE"""),"")</f>
        <v/>
      </c>
      <c r="E4" s="9">
        <f>IFERROR(__xludf.DUMMYFUNCTION("""COMPUTED_VALUE"""),10.0)</f>
        <v>10</v>
      </c>
      <c r="F4" s="8" t="str">
        <f>IFERROR(__xludf.DUMMYFUNCTION("""COMPUTED_VALUE"""),"")</f>
        <v/>
      </c>
    </row>
    <row r="5">
      <c r="A5" s="8" t="str">
        <f>IFERROR(__xludf.DUMMYFUNCTION("""COMPUTED_VALUE"""),"BC-009")</f>
        <v>BC-009</v>
      </c>
      <c r="B5" s="8" t="str">
        <f>IFERROR(__xludf.DUMMYFUNCTION("""COMPUTED_VALUE"""),"amanides")</f>
        <v>amanides</v>
      </c>
      <c r="C5" s="8" t="str">
        <f>IFERROR(__xludf.DUMMYFUNCTION("""COMPUTED_VALUE"""),"BUFALATA")</f>
        <v>BUFALATA</v>
      </c>
      <c r="D5" s="8" t="str">
        <f>IFERROR(__xludf.DUMMYFUNCTION("""COMPUTED_VALUE"""),"Mesclum / burrata / bresaola / nous / olives")</f>
        <v>Mesclum / burrata / bresaola / nous / olives</v>
      </c>
      <c r="E5" s="9">
        <f>IFERROR(__xludf.DUMMYFUNCTION("""COMPUTED_VALUE"""),16.0)</f>
        <v>16</v>
      </c>
      <c r="F5" s="8" t="str">
        <f>IFERROR(__xludf.DUMMYFUNCTION("""COMPUTED_VALUE"""),"")</f>
        <v/>
      </c>
    </row>
    <row r="6">
      <c r="A6" s="8" t="str">
        <f>IFERROR(__xludf.DUMMYFUNCTION("""COMPUTED_VALUE"""),"BC-010")</f>
        <v>BC-010</v>
      </c>
      <c r="B6" s="8" t="str">
        <f>IFERROR(__xludf.DUMMYFUNCTION("""COMPUTED_VALUE"""),"amanides")</f>
        <v>amanides</v>
      </c>
      <c r="C6" s="8" t="str">
        <f>IFERROR(__xludf.DUMMYFUNCTION("""COMPUTED_VALUE"""),"CÈSAR")</f>
        <v>CÈSAR</v>
      </c>
      <c r="D6" s="8" t="str">
        <f>IFERROR(__xludf.DUMMYFUNCTION("""COMPUTED_VALUE"""),"Enciam / pollastre / crostons / cherry / parmesà / salsa cèsar")</f>
        <v>Enciam / pollastre / crostons / cherry / parmesà / salsa cèsar</v>
      </c>
      <c r="E6" s="9">
        <f>IFERROR(__xludf.DUMMYFUNCTION("""COMPUTED_VALUE"""),16.0)</f>
        <v>16</v>
      </c>
      <c r="F6" s="8" t="str">
        <f>IFERROR(__xludf.DUMMYFUNCTION("""COMPUTED_VALUE"""),"")</f>
        <v/>
      </c>
    </row>
    <row r="7">
      <c r="A7" s="8" t="str">
        <f>IFERROR(__xludf.DUMMYFUNCTION("""COMPUTED_VALUE"""),"BC-011")</f>
        <v>BC-011</v>
      </c>
      <c r="B7" s="8" t="str">
        <f>IFERROR(__xludf.DUMMYFUNCTION("""COMPUTED_VALUE"""),"amanides")</f>
        <v>amanides</v>
      </c>
      <c r="C7" s="8" t="str">
        <f>IFERROR(__xludf.DUMMYFUNCTION("""COMPUTED_VALUE"""),"CABRA")</f>
        <v>CABRA</v>
      </c>
      <c r="D7" s="8" t="str">
        <f>IFERROR(__xludf.DUMMYFUNCTION("""COMPUTED_VALUE"""),"Mesclum / cherry / escalivada / albergínia, pebre, ceba / nous / cabra / balsàmic")</f>
        <v>Mesclum / cherry / escalivada / albergínia, pebre, ceba / nous / cabra / balsàmic</v>
      </c>
      <c r="E7" s="9">
        <f>IFERROR(__xludf.DUMMYFUNCTION("""COMPUTED_VALUE"""),16.0)</f>
        <v>16</v>
      </c>
      <c r="F7" s="8" t="str">
        <f>IFERROR(__xludf.DUMMYFUNCTION("""COMPUTED_VALUE"""),"")</f>
        <v/>
      </c>
    </row>
    <row r="8">
      <c r="A8" s="8" t="str">
        <f>IFERROR(__xludf.DUMMYFUNCTION("""COMPUTED_VALUE"""),"BC-012")</f>
        <v>BC-012</v>
      </c>
      <c r="B8" s="8" t="str">
        <f>IFERROR(__xludf.DUMMYFUNCTION("""COMPUTED_VALUE"""),"amanides")</f>
        <v>amanides</v>
      </c>
      <c r="C8" s="8" t="str">
        <f>IFERROR(__xludf.DUMMYFUNCTION("""COMPUTED_VALUE"""),"LUNA CAPRESE")</f>
        <v>LUNA CAPRESE</v>
      </c>
      <c r="D8" s="8" t="str">
        <f>IFERROR(__xludf.DUMMYFUNCTION("""COMPUTED_VALUE"""),"Tomàquet / mozzarella / salsa pesto / ruca / salsa mòdena")</f>
        <v>Tomàquet / mozzarella / salsa pesto / ruca / salsa mòdena</v>
      </c>
      <c r="E8" s="9">
        <f>IFERROR(__xludf.DUMMYFUNCTION("""COMPUTED_VALUE"""),15.5)</f>
        <v>15.5</v>
      </c>
      <c r="F8" s="8" t="str">
        <f>IFERROR(__xludf.DUMMYFUNCTION("""COMPUTED_VALUE"""),"")</f>
        <v/>
      </c>
    </row>
    <row r="9">
      <c r="A9" s="8" t="str">
        <f>IFERROR(__xludf.DUMMYFUNCTION("""COMPUTED_VALUE"""),"BC-017")</f>
        <v>BC-017</v>
      </c>
      <c r="B9" s="8" t="str">
        <f>IFERROR(__xludf.DUMMYFUNCTION("""COMPUTED_VALUE"""),"carn")</f>
        <v>carn</v>
      </c>
      <c r="C9" s="8" t="str">
        <f>IFERROR(__xludf.DUMMYFUNCTION("""COMPUTED_VALUE"""),"EMBOTITS ITALIANS")</f>
        <v>EMBOTITS ITALIANS</v>
      </c>
      <c r="D9" s="8" t="str">
        <f>IFERROR(__xludf.DUMMYFUNCTION("""COMPUTED_VALUE"""),"Bresaola / salami / mortadel·la de tòfona / mortadel·la de pistatxos / la piatta piccante")</f>
        <v>Bresaola / salami / mortadel·la de tòfona / mortadel·la de pistatxos / la piatta piccante</v>
      </c>
      <c r="E9" s="9">
        <f>IFERROR(__xludf.DUMMYFUNCTION("""COMPUTED_VALUE"""),22.5)</f>
        <v>22.5</v>
      </c>
      <c r="F9" s="8" t="str">
        <f>IFERROR(__xludf.DUMMYFUNCTION("""COMPUTED_VALUE"""),"")</f>
        <v/>
      </c>
    </row>
    <row r="10">
      <c r="A10" s="8" t="str">
        <f>IFERROR(__xludf.DUMMYFUNCTION("""COMPUTED_VALUE"""),"BC-018")</f>
        <v>BC-018</v>
      </c>
      <c r="B10" s="8" t="str">
        <f>IFERROR(__xludf.DUMMYFUNCTION("""COMPUTED_VALUE"""),"pasta")</f>
        <v>pasta</v>
      </c>
      <c r="C10" s="8" t="str">
        <f>IFERROR(__xludf.DUMMYFUNCTION("""COMPUTED_VALUE"""),"BIGOLI ALLA NAPOLITANA")</f>
        <v>BIGOLI ALLA NAPOLITANA</v>
      </c>
      <c r="D10" s="8" t="str">
        <f>IFERROR(__xludf.DUMMYFUNCTION("""COMPUTED_VALUE"""),"Pasta amb tomàquets")</f>
        <v>Pasta amb tomàquets</v>
      </c>
      <c r="E10" s="9">
        <f>IFERROR(__xludf.DUMMYFUNCTION("""COMPUTED_VALUE"""),9.5)</f>
        <v>9.5</v>
      </c>
      <c r="F10" s="8" t="str">
        <f>IFERROR(__xludf.DUMMYFUNCTION("""COMPUTED_VALUE"""),"")</f>
        <v/>
      </c>
    </row>
    <row r="11">
      <c r="A11" s="8" t="str">
        <f>IFERROR(__xludf.DUMMYFUNCTION("""COMPUTED_VALUE"""),"BC-019")</f>
        <v>BC-019</v>
      </c>
      <c r="B11" s="8" t="str">
        <f>IFERROR(__xludf.DUMMYFUNCTION("""COMPUTED_VALUE"""),"pasta")</f>
        <v>pasta</v>
      </c>
      <c r="C11" s="8" t="str">
        <f>IFERROR(__xludf.DUMMYFUNCTION("""COMPUTED_VALUE"""),"TAGLIATELLE TARTUFATA")</f>
        <v>TAGLIATELLE TARTUFATA</v>
      </c>
      <c r="D11" s="8" t="str">
        <f>IFERROR(__xludf.DUMMYFUNCTION("""COMPUTED_VALUE"""),"Amb crema de tòfona")</f>
        <v>Amb crema de tòfona</v>
      </c>
      <c r="E11" s="9">
        <f>IFERROR(__xludf.DUMMYFUNCTION("""COMPUTED_VALUE"""),14.0)</f>
        <v>14</v>
      </c>
      <c r="F11" s="8" t="str">
        <f>IFERROR(__xludf.DUMMYFUNCTION("""COMPUTED_VALUE"""),"")</f>
        <v/>
      </c>
    </row>
    <row r="12">
      <c r="A12" s="8" t="str">
        <f>IFERROR(__xludf.DUMMYFUNCTION("""COMPUTED_VALUE"""),"BC-020")</f>
        <v>BC-020</v>
      </c>
      <c r="B12" s="8" t="str">
        <f>IFERROR(__xludf.DUMMYFUNCTION("""COMPUTED_VALUE"""),"pasta")</f>
        <v>pasta</v>
      </c>
      <c r="C12" s="8" t="str">
        <f>IFERROR(__xludf.DUMMYFUNCTION("""COMPUTED_VALUE"""),"GARGANELLI ALL’ARRABBIATA")</f>
        <v>GARGANELLI ALL’ARRABBIATA</v>
      </c>
      <c r="D12" s="8" t="str">
        <f>IFERROR(__xludf.DUMMYFUNCTION("""COMPUTED_VALUE"""),"Salsa picant tradicional casolana")</f>
        <v>Salsa picant tradicional casolana</v>
      </c>
      <c r="E12" s="9">
        <f>IFERROR(__xludf.DUMMYFUNCTION("""COMPUTED_VALUE"""),14.0)</f>
        <v>14</v>
      </c>
      <c r="F12" s="8" t="str">
        <f>IFERROR(__xludf.DUMMYFUNCTION("""COMPUTED_VALUE"""),"")</f>
        <v/>
      </c>
    </row>
    <row r="13">
      <c r="A13" s="8" t="str">
        <f>IFERROR(__xludf.DUMMYFUNCTION("""COMPUTED_VALUE"""),"BC-021")</f>
        <v>BC-021</v>
      </c>
      <c r="B13" s="8" t="str">
        <f>IFERROR(__xludf.DUMMYFUNCTION("""COMPUTED_VALUE"""),"pasta")</f>
        <v>pasta</v>
      </c>
      <c r="C13" s="8" t="str">
        <f>IFERROR(__xludf.DUMMYFUNCTION("""COMPUTED_VALUE"""),"SPAGHETTI RAGÚ ALLA BOLOGNESE")</f>
        <v>SPAGHETTI RAGÚ ALLA BOLOGNESE</v>
      </c>
      <c r="D13" s="8" t="str">
        <f>IFERROR(__xludf.DUMMYFUNCTION("""COMPUTED_VALUE"""),"Salsa casolana de carn d'Andorra")</f>
        <v>Salsa casolana de carn d'Andorra</v>
      </c>
      <c r="E13" s="9">
        <f>IFERROR(__xludf.DUMMYFUNCTION("""COMPUTED_VALUE"""),15.5)</f>
        <v>15.5</v>
      </c>
      <c r="F13" s="8" t="str">
        <f>IFERROR(__xludf.DUMMYFUNCTION("""COMPUTED_VALUE"""),"")</f>
        <v/>
      </c>
    </row>
    <row r="14">
      <c r="A14" s="8" t="str">
        <f>IFERROR(__xludf.DUMMYFUNCTION("""COMPUTED_VALUE"""),"BC-023")</f>
        <v>BC-023</v>
      </c>
      <c r="B14" s="8" t="str">
        <f>IFERROR(__xludf.DUMMYFUNCTION("""COMPUTED_VALUE"""),"pasta")</f>
        <v>pasta</v>
      </c>
      <c r="C14" s="8" t="str">
        <f>IFERROR(__xludf.DUMMYFUNCTION("""COMPUTED_VALUE"""),"LINGUINE D’ALL I ALFÀBREGA AMB PESTO")</f>
        <v>LINGUINE D’ALL I ALFÀBREGA AMB PESTO</v>
      </c>
      <c r="D14" s="8" t="str">
        <f>IFERROR(__xludf.DUMMYFUNCTION("""COMPUTED_VALUE"""),"Salsa casolana d’alfàbrega de quilòmetre 0")</f>
        <v>Salsa casolana d’alfàbrega de quilòmetre 0</v>
      </c>
      <c r="E14" s="9">
        <f>IFERROR(__xludf.DUMMYFUNCTION("""COMPUTED_VALUE"""),15.5)</f>
        <v>15.5</v>
      </c>
      <c r="F14" s="8" t="str">
        <f>IFERROR(__xludf.DUMMYFUNCTION("""COMPUTED_VALUE"""),"")</f>
        <v/>
      </c>
    </row>
    <row r="15">
      <c r="A15" s="8" t="str">
        <f>IFERROR(__xludf.DUMMYFUNCTION("""COMPUTED_VALUE"""),"BC-024")</f>
        <v>BC-024</v>
      </c>
      <c r="B15" s="8" t="str">
        <f>IFERROR(__xludf.DUMMYFUNCTION("""COMPUTED_VALUE"""),"pasta")</f>
        <v>pasta</v>
      </c>
      <c r="C15" s="8" t="str">
        <f>IFERROR(__xludf.DUMMYFUNCTION("""COMPUTED_VALUE"""),"BIGOLI ALLA CARBONARA")</f>
        <v>BIGOLI ALLA CARBONARA</v>
      </c>
      <c r="D15" s="8" t="str">
        <f>IFERROR(__xludf.DUMMYFUNCTION("""COMPUTED_VALUE"""),"Recepta tradicional amb ous i guanciale")</f>
        <v>Recepta tradicional amb ous i guanciale</v>
      </c>
      <c r="E15" s="9">
        <f>IFERROR(__xludf.DUMMYFUNCTION("""COMPUTED_VALUE"""),17.0)</f>
        <v>17</v>
      </c>
      <c r="F15" s="8" t="str">
        <f>IFERROR(__xludf.DUMMYFUNCTION("""COMPUTED_VALUE"""),"")</f>
        <v/>
      </c>
    </row>
    <row r="16">
      <c r="A16" s="8" t="str">
        <f>IFERROR(__xludf.DUMMYFUNCTION("""COMPUTED_VALUE"""),"BC-026")</f>
        <v>BC-026</v>
      </c>
      <c r="B16" s="8" t="str">
        <f>IFERROR(__xludf.DUMMYFUNCTION("""COMPUTED_VALUE"""),"pasta_farcida")</f>
        <v>pasta_farcida</v>
      </c>
      <c r="C16" s="8" t="str">
        <f>IFERROR(__xludf.DUMMYFUNCTION("""COMPUTED_VALUE"""),"RAVIOLIS DE BOLETS")</f>
        <v>RAVIOLIS DE BOLETS</v>
      </c>
      <c r="D16" s="8" t="str">
        <f>IFERROR(__xludf.DUMMYFUNCTION("""COMPUTED_VALUE"""),"Servit amb salsa casolana de pesto")</f>
        <v>Servit amb salsa casolana de pesto</v>
      </c>
      <c r="E16" s="9">
        <f>IFERROR(__xludf.DUMMYFUNCTION("""COMPUTED_VALUE"""),17.5)</f>
        <v>17.5</v>
      </c>
      <c r="F16" s="8" t="str">
        <f>IFERROR(__xludf.DUMMYFUNCTION("""COMPUTED_VALUE"""),"")</f>
        <v/>
      </c>
    </row>
    <row r="17">
      <c r="A17" s="8" t="str">
        <f>IFERROR(__xludf.DUMMYFUNCTION("""COMPUTED_VALUE"""),"BC-028")</f>
        <v>BC-028</v>
      </c>
      <c r="B17" s="8" t="str">
        <f>IFERROR(__xludf.DUMMYFUNCTION("""COMPUTED_VALUE"""),"pasta_farcida")</f>
        <v>pasta_farcida</v>
      </c>
      <c r="C17" s="8" t="str">
        <f>IFERROR(__xludf.DUMMYFUNCTION("""COMPUTED_VALUE"""),"CANELONS DE CARN")</f>
        <v>CANELONS DE CARN</v>
      </c>
      <c r="D17" s="8" t="str">
        <f>IFERROR(__xludf.DUMMYFUNCTION("""COMPUTED_VALUE"""),"Canelons fets per nosaltres servits amb salsa boloñesa casolana")</f>
        <v>Canelons fets per nosaltres servits amb salsa boloñesa casolana</v>
      </c>
      <c r="E17" s="9">
        <f>IFERROR(__xludf.DUMMYFUNCTION("""COMPUTED_VALUE"""),13.5)</f>
        <v>13.5</v>
      </c>
      <c r="F17" s="8" t="str">
        <f>IFERROR(__xludf.DUMMYFUNCTION("""COMPUTED_VALUE"""),"")</f>
        <v/>
      </c>
    </row>
    <row r="18">
      <c r="A18" s="8" t="str">
        <f>IFERROR(__xludf.DUMMYFUNCTION("""COMPUTED_VALUE"""),"BC-029")</f>
        <v>BC-029</v>
      </c>
      <c r="B18" s="8" t="str">
        <f>IFERROR(__xludf.DUMMYFUNCTION("""COMPUTED_VALUE"""),"pasta_farcida")</f>
        <v>pasta_farcida</v>
      </c>
      <c r="C18" s="8" t="str">
        <f>IFERROR(__xludf.DUMMYFUNCTION("""COMPUTED_VALUE"""),"NYOQUIS")</f>
        <v>NYOQUIS</v>
      </c>
      <c r="D18" s="8" t="str">
        <f>IFERROR(__xludf.DUMMYFUNCTION("""COMPUTED_VALUE"""),"Crema de tomàquet fresc i stracciatella")</f>
        <v>Crema de tomàquet fresc i stracciatella</v>
      </c>
      <c r="E18" s="9">
        <f>IFERROR(__xludf.DUMMYFUNCTION("""COMPUTED_VALUE"""),16.0)</f>
        <v>16</v>
      </c>
      <c r="F18" s="8" t="str">
        <f>IFERROR(__xludf.DUMMYFUNCTION("""COMPUTED_VALUE"""),"")</f>
        <v/>
      </c>
    </row>
    <row r="19">
      <c r="A19" s="8" t="str">
        <f>IFERROR(__xludf.DUMMYFUNCTION("""COMPUTED_VALUE"""),"BC-030")</f>
        <v>BC-030</v>
      </c>
      <c r="B19" s="8" t="str">
        <f>IFERROR(__xludf.DUMMYFUNCTION("""COMPUTED_VALUE"""),"pasta_farcida")</f>
        <v>pasta_farcida</v>
      </c>
      <c r="C19" s="8" t="str">
        <f>IFERROR(__xludf.DUMMYFUNCTION("""COMPUTED_VALUE"""),"LASANYA BOLONYESA")</f>
        <v>LASANYA BOLONYESA</v>
      </c>
      <c r="D19" s="8" t="str">
        <f>IFERROR(__xludf.DUMMYFUNCTION("""COMPUTED_VALUE"""),"Feta per nosaltres / salsa bolonyesa casolana")</f>
        <v>Feta per nosaltres / salsa bolonyesa casolana</v>
      </c>
      <c r="E19" s="9">
        <f>IFERROR(__xludf.DUMMYFUNCTION("""COMPUTED_VALUE"""),15.5)</f>
        <v>15.5</v>
      </c>
      <c r="F19" s="8" t="str">
        <f>IFERROR(__xludf.DUMMYFUNCTION("""COMPUTED_VALUE"""),"")</f>
        <v/>
      </c>
    </row>
    <row r="20">
      <c r="A20" s="8" t="str">
        <f>IFERROR(__xludf.DUMMYFUNCTION("""COMPUTED_VALUE"""),"BC-031")</f>
        <v>BC-031</v>
      </c>
      <c r="B20" s="8" t="str">
        <f>IFERROR(__xludf.DUMMYFUNCTION("""COMPUTED_VALUE"""),"pasta_farcida")</f>
        <v>pasta_farcida</v>
      </c>
      <c r="C20" s="8" t="str">
        <f>IFERROR(__xludf.DUMMYFUNCTION("""COMPUTED_VALUE"""),"RISOTTO DE BOLETS")</f>
        <v>RISOTTO DE BOLETS</v>
      </c>
      <c r="D20" s="8" t="str">
        <f>IFERROR(__xludf.DUMMYFUNCTION("""COMPUTED_VALUE"""),"Amb crema de tòfona")</f>
        <v>Amb crema de tòfona</v>
      </c>
      <c r="E20" s="9">
        <f>IFERROR(__xludf.DUMMYFUNCTION("""COMPUTED_VALUE"""),19.0)</f>
        <v>19</v>
      </c>
      <c r="F20" s="8" t="str">
        <f>IFERROR(__xludf.DUMMYFUNCTION("""COMPUTED_VALUE"""),"")</f>
        <v/>
      </c>
    </row>
    <row r="21">
      <c r="A21" s="8" t="str">
        <f>IFERROR(__xludf.DUMMYFUNCTION("""COMPUTED_VALUE"""),"BC-032")</f>
        <v>BC-032</v>
      </c>
      <c r="B21" s="8" t="str">
        <f>IFERROR(__xludf.DUMMYFUNCTION("""COMPUTED_VALUE"""),"pizzes")</f>
        <v>pizzes</v>
      </c>
      <c r="C21" s="8" t="str">
        <f>IFERROR(__xludf.DUMMYFUNCTION("""COMPUTED_VALUE"""),"MARGARITA")</f>
        <v>MARGARITA</v>
      </c>
      <c r="D21" s="8" t="str">
        <f>IFERROR(__xludf.DUMMYFUNCTION("""COMPUTED_VALUE"""),"Tomàquet / mozzarella")</f>
        <v>Tomàquet / mozzarella</v>
      </c>
      <c r="E21" s="9">
        <f>IFERROR(__xludf.DUMMYFUNCTION("""COMPUTED_VALUE"""),12.0)</f>
        <v>12</v>
      </c>
      <c r="F21" s="8" t="str">
        <f>IFERROR(__xludf.DUMMYFUNCTION("""COMPUTED_VALUE"""),"")</f>
        <v/>
      </c>
    </row>
    <row r="22">
      <c r="A22" s="8" t="str">
        <f>IFERROR(__xludf.DUMMYFUNCTION("""COMPUTED_VALUE"""),"BC-033")</f>
        <v>BC-033</v>
      </c>
      <c r="B22" s="8" t="str">
        <f>IFERROR(__xludf.DUMMYFUNCTION("""COMPUTED_VALUE"""),"pizzes")</f>
        <v>pizzes</v>
      </c>
      <c r="C22" s="8" t="str">
        <f>IFERROR(__xludf.DUMMYFUNCTION("""COMPUTED_VALUE"""),"PROSCIUTO")</f>
        <v>PROSCIUTO</v>
      </c>
      <c r="D22" s="8" t="str">
        <f>IFERROR(__xludf.DUMMYFUNCTION("""COMPUTED_VALUE"""),"Tomàquet / mozzarella / pernil dolç")</f>
        <v>Tomàquet / mozzarella / pernil dolç</v>
      </c>
      <c r="E22" s="9">
        <f>IFERROR(__xludf.DUMMYFUNCTION("""COMPUTED_VALUE"""),14.5)</f>
        <v>14.5</v>
      </c>
      <c r="F22" s="8" t="str">
        <f>IFERROR(__xludf.DUMMYFUNCTION("""COMPUTED_VALUE"""),"")</f>
        <v/>
      </c>
    </row>
    <row r="23">
      <c r="A23" s="8" t="str">
        <f>IFERROR(__xludf.DUMMYFUNCTION("""COMPUTED_VALUE"""),"BC-034")</f>
        <v>BC-034</v>
      </c>
      <c r="B23" s="8" t="str">
        <f>IFERROR(__xludf.DUMMYFUNCTION("""COMPUTED_VALUE"""),"pizzes")</f>
        <v>pizzes</v>
      </c>
      <c r="C23" s="8" t="str">
        <f>IFERROR(__xludf.DUMMYFUNCTION("""COMPUTED_VALUE"""),"REGINA")</f>
        <v>REGINA</v>
      </c>
      <c r="D23" s="8" t="str">
        <f>IFERROR(__xludf.DUMMYFUNCTION("""COMPUTED_VALUE"""),"Tomàquet / mozzarella / pernil dolç / xampinyons")</f>
        <v>Tomàquet / mozzarella / pernil dolç / xampinyons</v>
      </c>
      <c r="E23" s="9">
        <f>IFERROR(__xludf.DUMMYFUNCTION("""COMPUTED_VALUE"""),15.0)</f>
        <v>15</v>
      </c>
      <c r="F23" s="8" t="str">
        <f>IFERROR(__xludf.DUMMYFUNCTION("""COMPUTED_VALUE"""),"")</f>
        <v/>
      </c>
    </row>
    <row r="24">
      <c r="A24" s="8" t="str">
        <f>IFERROR(__xludf.DUMMYFUNCTION("""COMPUTED_VALUE"""),"BC-035")</f>
        <v>BC-035</v>
      </c>
      <c r="B24" s="8" t="str">
        <f>IFERROR(__xludf.DUMMYFUNCTION("""COMPUTED_VALUE"""),"pizzes")</f>
        <v>pizzes</v>
      </c>
      <c r="C24" s="8" t="str">
        <f>IFERROR(__xludf.DUMMYFUNCTION("""COMPUTED_VALUE"""),"CALZONE")</f>
        <v>CALZONE</v>
      </c>
      <c r="D24" s="8" t="str">
        <f>IFERROR(__xludf.DUMMYFUNCTION("""COMPUTED_VALUE"""),"Tomàquet / mozzarella / pernil dolç / ou")</f>
        <v>Tomàquet / mozzarella / pernil dolç / ou</v>
      </c>
      <c r="E24" s="9">
        <f>IFERROR(__xludf.DUMMYFUNCTION("""COMPUTED_VALUE"""),17.0)</f>
        <v>17</v>
      </c>
      <c r="F24" s="8" t="str">
        <f>IFERROR(__xludf.DUMMYFUNCTION("""COMPUTED_VALUE"""),"")</f>
        <v/>
      </c>
    </row>
    <row r="25">
      <c r="A25" s="8" t="str">
        <f>IFERROR(__xludf.DUMMYFUNCTION("""COMPUTED_VALUE"""),"BC-036")</f>
        <v>BC-036</v>
      </c>
      <c r="B25" s="8" t="str">
        <f>IFERROR(__xludf.DUMMYFUNCTION("""COMPUTED_VALUE"""),"pizzes")</f>
        <v>pizzes</v>
      </c>
      <c r="C25" s="8" t="str">
        <f>IFERROR(__xludf.DUMMYFUNCTION("""COMPUTED_VALUE"""),"PEPPERONI")</f>
        <v>PEPPERONI</v>
      </c>
      <c r="D25" s="8" t="str">
        <f>IFERROR(__xludf.DUMMYFUNCTION("""COMPUTED_VALUE"""),"Tomàquet / mozzarella / pepperoni / bitxo verd")</f>
        <v>Tomàquet / mozzarella / pepperoni / bitxo verd</v>
      </c>
      <c r="E25" s="9">
        <f>IFERROR(__xludf.DUMMYFUNCTION("""COMPUTED_VALUE"""),15.5)</f>
        <v>15.5</v>
      </c>
      <c r="F25" s="8" t="str">
        <f>IFERROR(__xludf.DUMMYFUNCTION("""COMPUTED_VALUE"""),"")</f>
        <v/>
      </c>
    </row>
    <row r="26">
      <c r="A26" s="8" t="str">
        <f>IFERROR(__xludf.DUMMYFUNCTION("""COMPUTED_VALUE"""),"BC-037")</f>
        <v>BC-037</v>
      </c>
      <c r="B26" s="8" t="str">
        <f>IFERROR(__xludf.DUMMYFUNCTION("""COMPUTED_VALUE"""),"pizzes")</f>
        <v>pizzes</v>
      </c>
      <c r="C26" s="8" t="str">
        <f>IFERROR(__xludf.DUMMYFUNCTION("""COMPUTED_VALUE"""),"CAPRESE")</f>
        <v>CAPRESE</v>
      </c>
      <c r="D26" s="8" t="str">
        <f>IFERROR(__xludf.DUMMYFUNCTION("""COMPUTED_VALUE"""),"Tomàquet / mozzarella fresca / tomàquet sec casolà / alfàbrega")</f>
        <v>Tomàquet / mozzarella fresca / tomàquet sec casolà / alfàbrega</v>
      </c>
      <c r="E26" s="9">
        <f>IFERROR(__xludf.DUMMYFUNCTION("""COMPUTED_VALUE"""),15.5)</f>
        <v>15.5</v>
      </c>
      <c r="F26" s="8" t="str">
        <f>IFERROR(__xludf.DUMMYFUNCTION("""COMPUTED_VALUE"""),"")</f>
        <v/>
      </c>
    </row>
    <row r="27">
      <c r="A27" s="8" t="str">
        <f>IFERROR(__xludf.DUMMYFUNCTION("""COMPUTED_VALUE"""),"BC-039")</f>
        <v>BC-039</v>
      </c>
      <c r="B27" s="8" t="str">
        <f>IFERROR(__xludf.DUMMYFUNCTION("""COMPUTED_VALUE"""),"pizzes")</f>
        <v>pizzes</v>
      </c>
      <c r="C27" s="8" t="str">
        <f>IFERROR(__xludf.DUMMYFUNCTION("""COMPUTED_VALUE"""),"IBÉRICA")</f>
        <v>IBÉRICA</v>
      </c>
      <c r="D27" s="8" t="str">
        <f>IFERROR(__xludf.DUMMYFUNCTION("""COMPUTED_VALUE"""),"Tomàquet / mozzarella / pernil ibèric / parmesà / ruca")</f>
        <v>Tomàquet / mozzarella / pernil ibèric / parmesà / ruca</v>
      </c>
      <c r="E27" s="9">
        <f>IFERROR(__xludf.DUMMYFUNCTION("""COMPUTED_VALUE"""),18.5)</f>
        <v>18.5</v>
      </c>
      <c r="F27" s="8" t="str">
        <f>IFERROR(__xludf.DUMMYFUNCTION("""COMPUTED_VALUE"""),"")</f>
        <v/>
      </c>
    </row>
    <row r="28">
      <c r="A28" s="8" t="str">
        <f>IFERROR(__xludf.DUMMYFUNCTION("""COMPUTED_VALUE"""),"BC-040")</f>
        <v>BC-040</v>
      </c>
      <c r="B28" s="8" t="str">
        <f>IFERROR(__xludf.DUMMYFUNCTION("""COMPUTED_VALUE"""),"pizzes")</f>
        <v>pizzes</v>
      </c>
      <c r="C28" s="8" t="str">
        <f>IFERROR(__xludf.DUMMYFUNCTION("""COMPUTED_VALUE"""),"4 ESTACIONS")</f>
        <v>4 ESTACIONS</v>
      </c>
      <c r="D28" s="8" t="str">
        <f>IFERROR(__xludf.DUMMYFUNCTION("""COMPUTED_VALUE"""),"Tomàquet / mozzarella / pernil dolç / xampinyons / carxofes / olives")</f>
        <v>Tomàquet / mozzarella / pernil dolç / xampinyons / carxofes / olives</v>
      </c>
      <c r="E28" s="9">
        <f>IFERROR(__xludf.DUMMYFUNCTION("""COMPUTED_VALUE"""),16.0)</f>
        <v>16</v>
      </c>
      <c r="F28" s="8" t="str">
        <f>IFERROR(__xludf.DUMMYFUNCTION("""COMPUTED_VALUE"""),"")</f>
        <v/>
      </c>
    </row>
    <row r="29">
      <c r="A29" s="8" t="str">
        <f>IFERROR(__xludf.DUMMYFUNCTION("""COMPUTED_VALUE"""),"BC-041")</f>
        <v>BC-041</v>
      </c>
      <c r="B29" s="8" t="str">
        <f>IFERROR(__xludf.DUMMYFUNCTION("""COMPUTED_VALUE"""),"pizzes")</f>
        <v>pizzes</v>
      </c>
      <c r="C29" s="8" t="str">
        <f>IFERROR(__xludf.DUMMYFUNCTION("""COMPUTED_VALUE"""),"BELLA CIAO")</f>
        <v>BELLA CIAO</v>
      </c>
      <c r="D29" s="8" t="str">
        <f>IFERROR(__xludf.DUMMYFUNCTION("""COMPUTED_VALUE"""),"Tomàquet / mozzarella / bologna / burrata / vinagreta de pistatxo")</f>
        <v>Tomàquet / mozzarella / bologna / burrata / vinagreta de pistatxo</v>
      </c>
      <c r="E29" s="9">
        <f>IFERROR(__xludf.DUMMYFUNCTION("""COMPUTED_VALUE"""),17.5)</f>
        <v>17.5</v>
      </c>
      <c r="F29" s="8" t="str">
        <f>IFERROR(__xludf.DUMMYFUNCTION("""COMPUTED_VALUE"""),"")</f>
        <v/>
      </c>
    </row>
    <row r="30">
      <c r="A30" s="8" t="str">
        <f>IFERROR(__xludf.DUMMYFUNCTION("""COMPUTED_VALUE"""),"BC-042")</f>
        <v>BC-042</v>
      </c>
      <c r="B30" s="8" t="str">
        <f>IFERROR(__xludf.DUMMYFUNCTION("""COMPUTED_VALUE"""),"pizzes")</f>
        <v>pizzes</v>
      </c>
      <c r="C30" s="8" t="str">
        <f>IFERROR(__xludf.DUMMYFUNCTION("""COMPUTED_VALUE"""),"ITALIANA")</f>
        <v>ITALIANA</v>
      </c>
      <c r="D30" s="8" t="str">
        <f>IFERROR(__xludf.DUMMYFUNCTION("""COMPUTED_VALUE"""),"Tomàquet / ruca / mozzarella / cherry / burrata / salsa pesto")</f>
        <v>Tomàquet / ruca / mozzarella / cherry / burrata / salsa pesto</v>
      </c>
      <c r="E30" s="9">
        <f>IFERROR(__xludf.DUMMYFUNCTION("""COMPUTED_VALUE"""),18.0)</f>
        <v>18</v>
      </c>
      <c r="F30" s="8" t="str">
        <f>IFERROR(__xludf.DUMMYFUNCTION("""COMPUTED_VALUE"""),"")</f>
        <v/>
      </c>
    </row>
    <row r="31">
      <c r="A31" s="8" t="str">
        <f>IFERROR(__xludf.DUMMYFUNCTION("""COMPUTED_VALUE"""),"BC-043")</f>
        <v>BC-043</v>
      </c>
      <c r="B31" s="8" t="str">
        <f>IFERROR(__xludf.DUMMYFUNCTION("""COMPUTED_VALUE"""),"pizzes")</f>
        <v>pizzes</v>
      </c>
      <c r="C31" s="8" t="str">
        <f>IFERROR(__xludf.DUMMYFUNCTION("""COMPUTED_VALUE"""),"VEGETARIANA")</f>
        <v>VEGETARIANA</v>
      </c>
      <c r="D31" s="8" t="str">
        <f>IFERROR(__xludf.DUMMYFUNCTION("""COMPUTED_VALUE"""),"Tomàquet / mozzarella / pebrot / carxofes / xampinyons / ceba")</f>
        <v>Tomàquet / mozzarella / pebrot / carxofes / xampinyons / ceba</v>
      </c>
      <c r="E31" s="9">
        <f>IFERROR(__xludf.DUMMYFUNCTION("""COMPUTED_VALUE"""),16.5)</f>
        <v>16.5</v>
      </c>
      <c r="F31" s="8" t="str">
        <f>IFERROR(__xludf.DUMMYFUNCTION("""COMPUTED_VALUE"""),"")</f>
        <v/>
      </c>
    </row>
    <row r="32">
      <c r="A32" s="8" t="str">
        <f>IFERROR(__xludf.DUMMYFUNCTION("""COMPUTED_VALUE"""),"BC-044")</f>
        <v>BC-044</v>
      </c>
      <c r="B32" s="8" t="str">
        <f>IFERROR(__xludf.DUMMYFUNCTION("""COMPUTED_VALUE"""),"pizzes_blanques")</f>
        <v>pizzes_blanques</v>
      </c>
      <c r="C32" s="8" t="str">
        <f>IFERROR(__xludf.DUMMYFUNCTION("""COMPUTED_VALUE"""),"TARTUFATA")</f>
        <v>TARTUFATA</v>
      </c>
      <c r="D32" s="8" t="str">
        <f>IFERROR(__xludf.DUMMYFUNCTION("""COMPUTED_VALUE"""),"Mozzarella / crema de tòfona / romaní / parmesà")</f>
        <v>Mozzarella / crema de tòfona / romaní / parmesà</v>
      </c>
      <c r="E32" s="9">
        <f>IFERROR(__xludf.DUMMYFUNCTION("""COMPUTED_VALUE"""),15.5)</f>
        <v>15.5</v>
      </c>
      <c r="F32" s="8" t="str">
        <f>IFERROR(__xludf.DUMMYFUNCTION("""COMPUTED_VALUE"""),"")</f>
        <v/>
      </c>
    </row>
    <row r="33">
      <c r="A33" s="8" t="str">
        <f>IFERROR(__xludf.DUMMYFUNCTION("""COMPUTED_VALUE"""),"BC-045")</f>
        <v>BC-045</v>
      </c>
      <c r="B33" s="8" t="str">
        <f>IFERROR(__xludf.DUMMYFUNCTION("""COMPUTED_VALUE"""),"pizzes_blanques")</f>
        <v>pizzes_blanques</v>
      </c>
      <c r="C33" s="8" t="str">
        <f>IFERROR(__xludf.DUMMYFUNCTION("""COMPUTED_VALUE"""),"5 FORMATGES")</f>
        <v>5 FORMATGES</v>
      </c>
      <c r="D33" s="8" t="str">
        <f>IFERROR(__xludf.DUMMYFUNCTION("""COMPUTED_VALUE"""),"Mozzarella / cabra / emmental / roquefort / parmesà")</f>
        <v>Mozzarella / cabra / emmental / roquefort / parmesà</v>
      </c>
      <c r="E33" s="9">
        <f>IFERROR(__xludf.DUMMYFUNCTION("""COMPUTED_VALUE"""),16.5)</f>
        <v>16.5</v>
      </c>
      <c r="F33" s="8" t="str">
        <f>IFERROR(__xludf.DUMMYFUNCTION("""COMPUTED_VALUE"""),"")</f>
        <v/>
      </c>
    </row>
    <row r="34">
      <c r="A34" s="8" t="str">
        <f>IFERROR(__xludf.DUMMYFUNCTION("""COMPUTED_VALUE"""),"BC-047")</f>
        <v>BC-047</v>
      </c>
      <c r="B34" s="8" t="str">
        <f>IFERROR(__xludf.DUMMYFUNCTION("""COMPUTED_VALUE"""),"pizzes_blanques")</f>
        <v>pizzes_blanques</v>
      </c>
      <c r="C34" s="8" t="str">
        <f>IFERROR(__xludf.DUMMYFUNCTION("""COMPUTED_VALUE"""),"CARBONARA")</f>
        <v>CARBONARA</v>
      </c>
      <c r="D34" s="8" t="str">
        <f>IFERROR(__xludf.DUMMYFUNCTION("""COMPUTED_VALUE"""),"Mozzarella / nata / guanciale / ceba / ou / parmesà")</f>
        <v>Mozzarella / nata / guanciale / ceba / ou / parmesà</v>
      </c>
      <c r="E34" s="9">
        <f>IFERROR(__xludf.DUMMYFUNCTION("""COMPUTED_VALUE"""),16.0)</f>
        <v>16</v>
      </c>
      <c r="F34" s="8" t="str">
        <f>IFERROR(__xludf.DUMMYFUNCTION("""COMPUTED_VALUE"""),"")</f>
        <v/>
      </c>
    </row>
    <row r="35">
      <c r="A35" s="8" t="str">
        <f>IFERROR(__xludf.DUMMYFUNCTION("""COMPUTED_VALUE"""),"BC-048")</f>
        <v>BC-048</v>
      </c>
      <c r="B35" s="8" t="str">
        <f>IFERROR(__xludf.DUMMYFUNCTION("""COMPUTED_VALUE"""),"postres")</f>
        <v>postres</v>
      </c>
      <c r="C35" s="8" t="str">
        <f>IFERROR(__xludf.DUMMYFUNCTION("""COMPUTED_VALUE"""),"TIRAMISÚ CLÀSSIC")</f>
        <v>TIRAMISÚ CLÀSSIC</v>
      </c>
      <c r="D35" s="8" t="str">
        <f>IFERROR(__xludf.DUMMYFUNCTION("""COMPUTED_VALUE"""),"")</f>
        <v/>
      </c>
      <c r="E35" s="9">
        <f>IFERROR(__xludf.DUMMYFUNCTION("""COMPUTED_VALUE"""),7.0)</f>
        <v>7</v>
      </c>
      <c r="F35" s="8" t="str">
        <f>IFERROR(__xludf.DUMMYFUNCTION("""COMPUTED_VALUE"""),"")</f>
        <v/>
      </c>
    </row>
    <row r="36">
      <c r="A36" s="8" t="str">
        <f>IFERROR(__xludf.DUMMYFUNCTION("""COMPUTED_VALUE"""),"BC-049")</f>
        <v>BC-049</v>
      </c>
      <c r="B36" s="8" t="str">
        <f>IFERROR(__xludf.DUMMYFUNCTION("""COMPUTED_VALUE"""),"postres")</f>
        <v>postres</v>
      </c>
      <c r="C36" s="8" t="str">
        <f>IFERROR(__xludf.DUMMYFUNCTION("""COMPUTED_VALUE"""),"TIRAMISÚ DE FESTUCS")</f>
        <v>TIRAMISÚ DE FESTUCS</v>
      </c>
      <c r="D36" s="8" t="str">
        <f>IFERROR(__xludf.DUMMYFUNCTION("""COMPUTED_VALUE"""),"")</f>
        <v/>
      </c>
      <c r="E36" s="9">
        <f>IFERROR(__xludf.DUMMYFUNCTION("""COMPUTED_VALUE"""),8.0)</f>
        <v>8</v>
      </c>
      <c r="F36" s="8" t="str">
        <f>IFERROR(__xludf.DUMMYFUNCTION("""COMPUTED_VALUE"""),"")</f>
        <v/>
      </c>
    </row>
    <row r="37">
      <c r="A37" s="8" t="str">
        <f>IFERROR(__xludf.DUMMYFUNCTION("""COMPUTED_VALUE"""),"BC-051")</f>
        <v>BC-051</v>
      </c>
      <c r="B37" s="8" t="str">
        <f>IFERROR(__xludf.DUMMYFUNCTION("""COMPUTED_VALUE"""),"postres")</f>
        <v>postres</v>
      </c>
      <c r="C37" s="8" t="str">
        <f>IFERROR(__xludf.DUMMYFUNCTION("""COMPUTED_VALUE"""),"PANNA COTTA")</f>
        <v>PANNA COTTA</v>
      </c>
      <c r="D37" s="8" t="str">
        <f>IFERROR(__xludf.DUMMYFUNCTION("""COMPUTED_VALUE"""),"De romaní amb ginebra i préssec")</f>
        <v>De romaní amb ginebra i préssec</v>
      </c>
      <c r="E37" s="9">
        <f>IFERROR(__xludf.DUMMYFUNCTION("""COMPUTED_VALUE"""),6.5)</f>
        <v>6.5</v>
      </c>
      <c r="F37" s="8" t="str">
        <f>IFERROR(__xludf.DUMMYFUNCTION("""COMPUTED_VALUE"""),"")</f>
        <v/>
      </c>
    </row>
    <row r="38">
      <c r="A38" s="8" t="str">
        <f>IFERROR(__xludf.DUMMYFUNCTION("""COMPUTED_VALUE"""),"BC-052")</f>
        <v>BC-052</v>
      </c>
      <c r="B38" s="8" t="str">
        <f>IFERROR(__xludf.DUMMYFUNCTION("""COMPUTED_VALUE"""),"postres")</f>
        <v>postres</v>
      </c>
      <c r="C38" s="8" t="str">
        <f>IFERROR(__xludf.DUMMYFUNCTION("""COMPUTED_VALUE"""),"COULANT DE XOCOLATA")</f>
        <v>COULANT DE XOCOLATA</v>
      </c>
      <c r="D38" s="8" t="str">
        <f>IFERROR(__xludf.DUMMYFUNCTION("""COMPUTED_VALUE"""),"")</f>
        <v/>
      </c>
      <c r="E38" s="9">
        <f>IFERROR(__xludf.DUMMYFUNCTION("""COMPUTED_VALUE"""),5.0)</f>
        <v>5</v>
      </c>
      <c r="F38" s="8" t="str">
        <f>IFERROR(__xludf.DUMMYFUNCTION("""COMPUTED_VALUE"""),"")</f>
        <v/>
      </c>
    </row>
    <row r="39">
      <c r="A39" s="8" t="str">
        <f>IFERROR(__xludf.DUMMYFUNCTION("""COMPUTED_VALUE"""),"BC-054")</f>
        <v>BC-054</v>
      </c>
      <c r="B39" s="8" t="str">
        <f>IFERROR(__xludf.DUMMYFUNCTION("""COMPUTED_VALUE"""),"postres")</f>
        <v>postres</v>
      </c>
      <c r="C39" s="8" t="str">
        <f>IFERROR(__xludf.DUMMYFUNCTION("""COMPUTED_VALUE"""),"CALZONE DOLÇA")</f>
        <v>CALZONE DOLÇA</v>
      </c>
      <c r="D39" s="8" t="str">
        <f>IFERROR(__xludf.DUMMYFUNCTION("""COMPUTED_VALUE"""),"")</f>
        <v/>
      </c>
      <c r="E39" s="9">
        <f>IFERROR(__xludf.DUMMYFUNCTION("""COMPUTED_VALUE"""),10.0)</f>
        <v>10</v>
      </c>
      <c r="F39" s="8" t="str">
        <f>IFERROR(__xludf.DUMMYFUNCTION("""COMPUTED_VALUE"""),"")</f>
        <v/>
      </c>
    </row>
    <row r="40">
      <c r="A40" s="8" t="str">
        <f>IFERROR(__xludf.DUMMYFUNCTION("""COMPUTED_VALUE"""),"BC-067")</f>
        <v>BC-067</v>
      </c>
      <c r="B40" s="8" t="str">
        <f>IFERROR(__xludf.DUMMYFUNCTION("""COMPUTED_VALUE"""),"begudes")</f>
        <v>begudes</v>
      </c>
      <c r="C40" s="8" t="str">
        <f>IFERROR(__xludf.DUMMYFUNCTION("""COMPUTED_VALUE"""),"REFRESCOS")</f>
        <v>REFRESCOS</v>
      </c>
      <c r="D40" s="8" t="str">
        <f>IFERROR(__xludf.DUMMYFUNCTION("""COMPUTED_VALUE"""),"Coca-Cola / Fanta / Cola Zero / Nestea / Aquarius")</f>
        <v>Coca-Cola / Fanta / Cola Zero / Nestea / Aquarius</v>
      </c>
      <c r="E40" s="9">
        <f>IFERROR(__xludf.DUMMYFUNCTION("""COMPUTED_VALUE"""),3.0)</f>
        <v>3</v>
      </c>
      <c r="F40" s="8" t="str">
        <f>IFERROR(__xludf.DUMMYFUNCTION("""COMPUTED_VALUE"""),"")</f>
        <v/>
      </c>
    </row>
    <row r="41">
      <c r="A41" s="8" t="str">
        <f>IFERROR(__xludf.DUMMYFUNCTION("""COMPUTED_VALUE"""),"BC-068")</f>
        <v>BC-068</v>
      </c>
      <c r="B41" s="8" t="str">
        <f>IFERROR(__xludf.DUMMYFUNCTION("""COMPUTED_VALUE"""),"begudes")</f>
        <v>begudes</v>
      </c>
      <c r="C41" s="8" t="str">
        <f>IFERROR(__xludf.DUMMYFUNCTION("""COMPUTED_VALUE"""),"TÒNICA")</f>
        <v>TÒNICA</v>
      </c>
      <c r="D41" s="8" t="str">
        <f>IFERROR(__xludf.DUMMYFUNCTION("""COMPUTED_VALUE"""),"")</f>
        <v/>
      </c>
      <c r="E41" s="9">
        <f>IFERROR(__xludf.DUMMYFUNCTION("""COMPUTED_VALUE"""),2.5)</f>
        <v>2.5</v>
      </c>
      <c r="F41" s="8" t="str">
        <f>IFERROR(__xludf.DUMMYFUNCTION("""COMPUTED_VALUE"""),"")</f>
        <v/>
      </c>
    </row>
    <row r="42">
      <c r="A42" s="8" t="str">
        <f>IFERROR(__xludf.DUMMYFUNCTION("""COMPUTED_VALUE"""),"BC-069")</f>
        <v>BC-069</v>
      </c>
      <c r="B42" s="8" t="str">
        <f>IFERROR(__xludf.DUMMYFUNCTION("""COMPUTED_VALUE"""),"begudes")</f>
        <v>begudes</v>
      </c>
      <c r="C42" s="8" t="str">
        <f>IFERROR(__xludf.DUMMYFUNCTION("""COMPUTED_VALUE"""),"BITTER KAS")</f>
        <v>BITTER KAS</v>
      </c>
      <c r="D42" s="8" t="str">
        <f>IFERROR(__xludf.DUMMYFUNCTION("""COMPUTED_VALUE"""),"")</f>
        <v/>
      </c>
      <c r="E42" s="9">
        <f>IFERROR(__xludf.DUMMYFUNCTION("""COMPUTED_VALUE"""),2.5)</f>
        <v>2.5</v>
      </c>
      <c r="F42" s="8" t="str">
        <f>IFERROR(__xludf.DUMMYFUNCTION("""COMPUTED_VALUE"""),"")</f>
        <v/>
      </c>
    </row>
    <row r="43">
      <c r="A43" s="8" t="str">
        <f>IFERROR(__xludf.DUMMYFUNCTION("""COMPUTED_VALUE"""),"BC-070")</f>
        <v>BC-070</v>
      </c>
      <c r="B43" s="8" t="str">
        <f>IFERROR(__xludf.DUMMYFUNCTION("""COMPUTED_VALUE"""),"begudes")</f>
        <v>begudes</v>
      </c>
      <c r="C43" s="8" t="str">
        <f>IFERROR(__xludf.DUMMYFUNCTION("""COMPUTED_VALUE"""),"SOLAN DE CABRAS")</f>
        <v>SOLAN DE CABRAS</v>
      </c>
      <c r="D43" s="8" t="str">
        <f>IFERROR(__xludf.DUMMYFUNCTION("""COMPUTED_VALUE"""),"")</f>
        <v/>
      </c>
      <c r="E43" s="9">
        <f>IFERROR(__xludf.DUMMYFUNCTION("""COMPUTED_VALUE"""),2.5)</f>
        <v>2.5</v>
      </c>
      <c r="F43" s="8" t="str">
        <f>IFERROR(__xludf.DUMMYFUNCTION("""COMPUTED_VALUE"""),"")</f>
        <v/>
      </c>
    </row>
    <row r="44">
      <c r="A44" s="8" t="str">
        <f>IFERROR(__xludf.DUMMYFUNCTION("""COMPUTED_VALUE"""),"BC-071")</f>
        <v>BC-071</v>
      </c>
      <c r="B44" s="8" t="str">
        <f>IFERROR(__xludf.DUMMYFUNCTION("""COMPUTED_VALUE"""),"begudes")</f>
        <v>begudes</v>
      </c>
      <c r="C44" s="8" t="str">
        <f>IFERROR(__xludf.DUMMYFUNCTION("""COMPUTED_VALUE"""),"VICHY CATALAN")</f>
        <v>VICHY CATALAN</v>
      </c>
      <c r="D44" s="8" t="str">
        <f>IFERROR(__xludf.DUMMYFUNCTION("""COMPUTED_VALUE"""),"")</f>
        <v/>
      </c>
      <c r="E44" s="9">
        <f>IFERROR(__xludf.DUMMYFUNCTION("""COMPUTED_VALUE"""),2.5)</f>
        <v>2.5</v>
      </c>
      <c r="F44" s="8" t="str">
        <f>IFERROR(__xludf.DUMMYFUNCTION("""COMPUTED_VALUE"""),"")</f>
        <v/>
      </c>
    </row>
    <row r="45">
      <c r="A45" s="8" t="str">
        <f>IFERROR(__xludf.DUMMYFUNCTION("""COMPUTED_VALUE"""),"BC-072")</f>
        <v>BC-072</v>
      </c>
      <c r="B45" s="8" t="str">
        <f>IFERROR(__xludf.DUMMYFUNCTION("""COMPUTED_VALUE"""),"begudes")</f>
        <v>begudes</v>
      </c>
      <c r="C45" s="8" t="str">
        <f>IFERROR(__xludf.DUMMYFUNCTION("""COMPUTED_VALUE"""),"AIGUA S. PELLEGRINO")</f>
        <v>AIGUA S. PELLEGRINO</v>
      </c>
      <c r="D45" s="8" t="str">
        <f>IFERROR(__xludf.DUMMYFUNCTION("""COMPUTED_VALUE"""),"")</f>
        <v/>
      </c>
      <c r="E45" s="9">
        <f>IFERROR(__xludf.DUMMYFUNCTION("""COMPUTED_VALUE"""),4.0)</f>
        <v>4</v>
      </c>
      <c r="F45" s="8" t="str">
        <f>IFERROR(__xludf.DUMMYFUNCTION("""COMPUTED_VALUE"""),"")</f>
        <v/>
      </c>
    </row>
    <row r="46">
      <c r="A46" s="8" t="str">
        <f>IFERROR(__xludf.DUMMYFUNCTION("""COMPUTED_VALUE"""),"BC-085")</f>
        <v>BC-085</v>
      </c>
      <c r="B46" s="8" t="str">
        <f>IFERROR(__xludf.DUMMYFUNCTION("""COMPUTED_VALUE"""),"cerveses")</f>
        <v>cerveses</v>
      </c>
      <c r="C46" s="8" t="str">
        <f>IFERROR(__xludf.DUMMYFUNCTION("""COMPUTED_VALUE"""),"LAGER ESTRELLA ANDORRA")</f>
        <v>LAGER ESTRELLA ANDORRA</v>
      </c>
      <c r="D46" s="8" t="str">
        <f>IFERROR(__xludf.DUMMYFUNCTION("""COMPUTED_VALUE"""),"Cervesa clara i refrescant, de malta suau i final net. Alc. 4,5 %.")</f>
        <v>Cervesa clara i refrescant, de malta suau i final net. Alc. 4,5 %.</v>
      </c>
      <c r="E46" s="9">
        <f>IFERROR(__xludf.DUMMYFUNCTION("""COMPUTED_VALUE"""),3.6)</f>
        <v>3.6</v>
      </c>
      <c r="F46" s="8" t="str">
        <f>IFERROR(__xludf.DUMMYFUNCTION("""COMPUTED_VALUE"""),"")</f>
        <v/>
      </c>
    </row>
    <row r="47">
      <c r="A47" s="8" t="str">
        <f>IFERROR(__xludf.DUMMYFUNCTION("""COMPUTED_VALUE"""),"BC-086")</f>
        <v>BC-086</v>
      </c>
      <c r="B47" s="8" t="str">
        <f>IFERROR(__xludf.DUMMYFUNCTION("""COMPUTED_VALUE"""),"cerveses")</f>
        <v>cerveses</v>
      </c>
      <c r="C47" s="8" t="str">
        <f>IFERROR(__xludf.DUMMYFUNCTION("""COMPUTED_VALUE"""),"TORRADA ANDBEER")</f>
        <v>TORRADA ANDBEER</v>
      </c>
      <c r="D47" s="8" t="str">
        <f>IFERROR(__xludf.DUMMYFUNCTION("""COMPUTED_VALUE"""),"Cos ple, malta torrada amb aromes de pa negre i lleugers tocs de cafè. Alc. 6,3 %.")</f>
        <v>Cos ple, malta torrada amb aromes de pa negre i lleugers tocs de cafè. Alc. 6,3 %.</v>
      </c>
      <c r="E47" s="9">
        <f>IFERROR(__xludf.DUMMYFUNCTION("""COMPUTED_VALUE"""),3.6)</f>
        <v>3.6</v>
      </c>
      <c r="F47" s="8" t="str">
        <f>IFERROR(__xludf.DUMMYFUNCTION("""COMPUTED_VALUE"""),"")</f>
        <v/>
      </c>
    </row>
    <row r="48">
      <c r="A48" s="8" t="str">
        <f>IFERROR(__xludf.DUMMYFUNCTION("""COMPUTED_VALUE"""),"BC-087")</f>
        <v>BC-087</v>
      </c>
      <c r="B48" s="8" t="str">
        <f>IFERROR(__xludf.DUMMYFUNCTION("""COMPUTED_VALUE"""),"cerveses")</f>
        <v>cerveses</v>
      </c>
      <c r="C48" s="8" t="str">
        <f>IFERROR(__xludf.DUMMYFUNCTION("""COMPUTED_VALUE"""),"AMBER ALE ANDBEER")</f>
        <v>AMBER ALE ANDBEER</v>
      </c>
      <c r="D48" s="8" t="str">
        <f>IFERROR(__xludf.DUMMYFUNCTION("""COMPUTED_VALUE"""),"Color coure, amb notes de caramel i malta torrada, equilibrada amb el llúpol. Alc. 6,3 %.")</f>
        <v>Color coure, amb notes de caramel i malta torrada, equilibrada amb el llúpol. Alc. 6,3 %.</v>
      </c>
      <c r="E48" s="9">
        <f>IFERROR(__xludf.DUMMYFUNCTION("""COMPUTED_VALUE"""),3.6)</f>
        <v>3.6</v>
      </c>
      <c r="F48" s="8" t="str">
        <f>IFERROR(__xludf.DUMMYFUNCTION("""COMPUTED_VALUE"""),"")</f>
        <v/>
      </c>
    </row>
    <row r="49">
      <c r="A49" s="8" t="str">
        <f>IFERROR(__xludf.DUMMYFUNCTION("""COMPUTED_VALUE"""),"BC-088")</f>
        <v>BC-088</v>
      </c>
      <c r="B49" s="8" t="str">
        <f>IFERROR(__xludf.DUMMYFUNCTION("""COMPUTED_VALUE"""),"cerveses")</f>
        <v>cerveses</v>
      </c>
      <c r="C49" s="8" t="str">
        <f>IFERROR(__xludf.DUMMYFUNCTION("""COMPUTED_VALUE"""),"IPA DE MUNTANYA ANDBEER")</f>
        <v>IPA DE MUNTANYA ANDBEER</v>
      </c>
      <c r="D49" s="8" t="str">
        <f>IFERROR(__xludf.DUMMYFUNCTION("""COMPUTED_VALUE"""),"IPA aromàtica amb notes de pi i fruita tropical, cos mitjà i final amarg. Alc. 7,1 %.")</f>
        <v>IPA aromàtica amb notes de pi i fruita tropical, cos mitjà i final amarg. Alc. 7,1 %.</v>
      </c>
      <c r="E49" s="9">
        <f>IFERROR(__xludf.DUMMYFUNCTION("""COMPUTED_VALUE"""),4.0)</f>
        <v>4</v>
      </c>
      <c r="F49" s="8" t="str">
        <f>IFERROR(__xludf.DUMMYFUNCTION("""COMPUTED_VALUE"""),"")</f>
        <v/>
      </c>
    </row>
    <row r="50">
      <c r="A50" s="8" t="str">
        <f>IFERROR(__xludf.DUMMYFUNCTION("""COMPUTED_VALUE"""),"BC-SUP-001")</f>
        <v>BC-SUP-001</v>
      </c>
      <c r="B50" s="8" t="str">
        <f>IFERROR(__xludf.DUMMYFUNCTION("""COMPUTED_VALUE"""),"suplements")</f>
        <v>suplements</v>
      </c>
      <c r="C50" s="8" t="str">
        <f>IFERROR(__xludf.DUMMYFUNCTION("""COMPUTED_VALUE"""),"PERNIL DOLÇ")</f>
        <v>PERNIL DOLÇ</v>
      </c>
      <c r="D50" s="8" t="str">
        <f>IFERROR(__xludf.DUMMYFUNCTION("""COMPUTED_VALUE"""),"")</f>
        <v/>
      </c>
      <c r="E50" s="9">
        <f>IFERROR(__xludf.DUMMYFUNCTION("""COMPUTED_VALUE"""),3.0)</f>
        <v>3</v>
      </c>
      <c r="F50" s="8" t="str">
        <f>IFERROR(__xludf.DUMMYFUNCTION("""COMPUTED_VALUE"""),"")</f>
        <v/>
      </c>
    </row>
    <row r="51">
      <c r="A51" s="8" t="str">
        <f>IFERROR(__xludf.DUMMYFUNCTION("""COMPUTED_VALUE"""),"BC-SUP-002")</f>
        <v>BC-SUP-002</v>
      </c>
      <c r="B51" s="8" t="str">
        <f>IFERROR(__xludf.DUMMYFUNCTION("""COMPUTED_VALUE"""),"suplements")</f>
        <v>suplements</v>
      </c>
      <c r="C51" s="8" t="str">
        <f>IFERROR(__xludf.DUMMYFUNCTION("""COMPUTED_VALUE"""),"MOZZARELLA")</f>
        <v>MOZZARELLA</v>
      </c>
      <c r="D51" s="8" t="str">
        <f>IFERROR(__xludf.DUMMYFUNCTION("""COMPUTED_VALUE"""),"")</f>
        <v/>
      </c>
      <c r="E51" s="9">
        <f>IFERROR(__xludf.DUMMYFUNCTION("""COMPUTED_VALUE"""),3.0)</f>
        <v>3</v>
      </c>
      <c r="F51" s="8" t="str">
        <f>IFERROR(__xludf.DUMMYFUNCTION("""COMPUTED_VALUE"""),"")</f>
        <v/>
      </c>
    </row>
    <row r="52">
      <c r="A52" s="8" t="str">
        <f>IFERROR(__xludf.DUMMYFUNCTION("""COMPUTED_VALUE"""),"BC-SUP-003")</f>
        <v>BC-SUP-003</v>
      </c>
      <c r="B52" s="8" t="str">
        <f>IFERROR(__xludf.DUMMYFUNCTION("""COMPUTED_VALUE"""),"suplements")</f>
        <v>suplements</v>
      </c>
      <c r="C52" s="8" t="str">
        <f>IFERROR(__xludf.DUMMYFUNCTION("""COMPUTED_VALUE"""),"ANXOVES")</f>
        <v>ANXOVES</v>
      </c>
      <c r="D52" s="8" t="str">
        <f>IFERROR(__xludf.DUMMYFUNCTION("""COMPUTED_VALUE"""),"6 unitats")</f>
        <v>6 unitats</v>
      </c>
      <c r="E52" s="9">
        <f>IFERROR(__xludf.DUMMYFUNCTION("""COMPUTED_VALUE"""),4.5)</f>
        <v>4.5</v>
      </c>
      <c r="F52" s="8" t="str">
        <f>IFERROR(__xludf.DUMMYFUNCTION("""COMPUTED_VALUE"""),"")</f>
        <v/>
      </c>
    </row>
    <row r="53">
      <c r="A53" s="8" t="str">
        <f>IFERROR(__xludf.DUMMYFUNCTION("""COMPUTED_VALUE"""),"BC-SUP-004")</f>
        <v>BC-SUP-004</v>
      </c>
      <c r="B53" s="8" t="str">
        <f>IFERROR(__xludf.DUMMYFUNCTION("""COMPUTED_VALUE"""),"suplements")</f>
        <v>suplements</v>
      </c>
      <c r="C53" s="8" t="str">
        <f>IFERROR(__xludf.DUMMYFUNCTION("""COMPUTED_VALUE"""),"CHAMPIGNON")</f>
        <v>CHAMPIGNON</v>
      </c>
      <c r="D53" s="8" t="str">
        <f>IFERROR(__xludf.DUMMYFUNCTION("""COMPUTED_VALUE"""),"")</f>
        <v/>
      </c>
      <c r="E53" s="9">
        <f>IFERROR(__xludf.DUMMYFUNCTION("""COMPUTED_VALUE"""),2.25)</f>
        <v>2.25</v>
      </c>
      <c r="F53" s="8" t="str">
        <f>IFERROR(__xludf.DUMMYFUNCTION("""COMPUTED_VALUE"""),"")</f>
        <v/>
      </c>
    </row>
    <row r="54">
      <c r="A54" s="8" t="str">
        <f>IFERROR(__xludf.DUMMYFUNCTION("""COMPUTED_VALUE"""),"BC-SUP-005")</f>
        <v>BC-SUP-005</v>
      </c>
      <c r="B54" s="8" t="str">
        <f>IFERROR(__xludf.DUMMYFUNCTION("""COMPUTED_VALUE"""),"suplements")</f>
        <v>suplements</v>
      </c>
      <c r="C54" s="8" t="str">
        <f>IFERROR(__xludf.DUMMYFUNCTION("""COMPUTED_VALUE"""),"CARXOFA")</f>
        <v>CARXOFA</v>
      </c>
      <c r="D54" s="8" t="str">
        <f>IFERROR(__xludf.DUMMYFUNCTION("""COMPUTED_VALUE"""),"")</f>
        <v/>
      </c>
      <c r="E54" s="9">
        <f>IFERROR(__xludf.DUMMYFUNCTION("""COMPUTED_VALUE"""),2.25)</f>
        <v>2.25</v>
      </c>
      <c r="F54" s="8" t="str">
        <f>IFERROR(__xludf.DUMMYFUNCTION("""COMPUTED_VALUE"""),"")</f>
        <v/>
      </c>
    </row>
    <row r="55">
      <c r="A55" s="8" t="str">
        <f>IFERROR(__xludf.DUMMYFUNCTION("""COMPUTED_VALUE"""),"BC-SUP-006")</f>
        <v>BC-SUP-006</v>
      </c>
      <c r="B55" s="8" t="str">
        <f>IFERROR(__xludf.DUMMYFUNCTION("""COMPUTED_VALUE"""),"suplements")</f>
        <v>suplements</v>
      </c>
      <c r="C55" s="8" t="str">
        <f>IFERROR(__xludf.DUMMYFUNCTION("""COMPUTED_VALUE"""),"TONYINA")</f>
        <v>TONYINA</v>
      </c>
      <c r="D55" s="8" t="str">
        <f>IFERROR(__xludf.DUMMYFUNCTION("""COMPUTED_VALUE"""),"")</f>
        <v/>
      </c>
      <c r="E55" s="9">
        <f>IFERROR(__xludf.DUMMYFUNCTION("""COMPUTED_VALUE"""),3.5)</f>
        <v>3.5</v>
      </c>
      <c r="F55" s="8" t="str">
        <f>IFERROR(__xludf.DUMMYFUNCTION("""COMPUTED_VALUE"""),"")</f>
        <v/>
      </c>
    </row>
    <row r="56">
      <c r="A56" s="8" t="str">
        <f>IFERROR(__xludf.DUMMYFUNCTION("""COMPUTED_VALUE"""),"BC-SUP-007")</f>
        <v>BC-SUP-007</v>
      </c>
      <c r="B56" s="8" t="str">
        <f>IFERROR(__xludf.DUMMYFUNCTION("""COMPUTED_VALUE"""),"suplements")</f>
        <v>suplements</v>
      </c>
      <c r="C56" s="8" t="str">
        <f>IFERROR(__xludf.DUMMYFUNCTION("""COMPUTED_VALUE"""),"CEBA")</f>
        <v>CEBA</v>
      </c>
      <c r="D56" s="8" t="str">
        <f>IFERROR(__xludf.DUMMYFUNCTION("""COMPUTED_VALUE"""),"")</f>
        <v/>
      </c>
      <c r="E56" s="9">
        <f>IFERROR(__xludf.DUMMYFUNCTION("""COMPUTED_VALUE"""),1.5)</f>
        <v>1.5</v>
      </c>
      <c r="F56" s="8" t="str">
        <f>IFERROR(__xludf.DUMMYFUNCTION("""COMPUTED_VALUE"""),"")</f>
        <v/>
      </c>
    </row>
    <row r="57">
      <c r="A57" s="8" t="str">
        <f>IFERROR(__xludf.DUMMYFUNCTION("""COMPUTED_VALUE"""),"BC-SUP-008")</f>
        <v>BC-SUP-008</v>
      </c>
      <c r="B57" s="8" t="str">
        <f>IFERROR(__xludf.DUMMYFUNCTION("""COMPUTED_VALUE"""),"suplements")</f>
        <v>suplements</v>
      </c>
      <c r="C57" s="8" t="str">
        <f>IFERROR(__xludf.DUMMYFUNCTION("""COMPUTED_VALUE"""),"OU")</f>
        <v>OU</v>
      </c>
      <c r="D57" s="8" t="str">
        <f>IFERROR(__xludf.DUMMYFUNCTION("""COMPUTED_VALUE"""),"")</f>
        <v/>
      </c>
      <c r="E57" s="9">
        <f>IFERROR(__xludf.DUMMYFUNCTION("""COMPUTED_VALUE"""),1.5)</f>
        <v>1.5</v>
      </c>
      <c r="F57" s="8" t="str">
        <f>IFERROR(__xludf.DUMMYFUNCTION("""COMPUTED_VALUE"""),"")</f>
        <v/>
      </c>
    </row>
    <row r="58">
      <c r="A58" s="8" t="str">
        <f>IFERROR(__xludf.DUMMYFUNCTION("""COMPUTED_VALUE"""),"BC-SUP-009")</f>
        <v>BC-SUP-009</v>
      </c>
      <c r="B58" s="8" t="str">
        <f>IFERROR(__xludf.DUMMYFUNCTION("""COMPUTED_VALUE"""),"suplements")</f>
        <v>suplements</v>
      </c>
      <c r="C58" s="8" t="str">
        <f>IFERROR(__xludf.DUMMYFUNCTION("""COMPUTED_VALUE"""),"BURRATA")</f>
        <v>BURRATA</v>
      </c>
      <c r="D58" s="8" t="str">
        <f>IFERROR(__xludf.DUMMYFUNCTION("""COMPUTED_VALUE"""),"")</f>
        <v/>
      </c>
      <c r="E58" s="9">
        <f>IFERROR(__xludf.DUMMYFUNCTION("""COMPUTED_VALUE"""),5.75)</f>
        <v>5.75</v>
      </c>
      <c r="F58" s="8" t="str">
        <f>IFERROR(__xludf.DUMMYFUNCTION("""COMPUTED_VALUE"""),"")</f>
        <v/>
      </c>
    </row>
    <row r="59">
      <c r="A59" s="8" t="str">
        <f>IFERROR(__xludf.DUMMYFUNCTION("""COMPUTED_VALUE"""),"BC-SUP-010")</f>
        <v>BC-SUP-010</v>
      </c>
      <c r="B59" s="8" t="str">
        <f>IFERROR(__xludf.DUMMYFUNCTION("""COMPUTED_VALUE"""),"suplements")</f>
        <v>suplements</v>
      </c>
      <c r="C59" s="8" t="str">
        <f>IFERROR(__xludf.DUMMYFUNCTION("""COMPUTED_VALUE"""),"PERNIL IBÈRIC")</f>
        <v>PERNIL IBÈRIC</v>
      </c>
      <c r="D59" s="8" t="str">
        <f>IFERROR(__xludf.DUMMYFUNCTION("""COMPUTED_VALUE"""),"")</f>
        <v/>
      </c>
      <c r="E59" s="9">
        <f>IFERROR(__xludf.DUMMYFUNCTION("""COMPUTED_VALUE"""),5.75)</f>
        <v>5.75</v>
      </c>
      <c r="F59" s="8" t="str">
        <f>IFERROR(__xludf.DUMMYFUNCTION("""COMPUTED_VALUE"""),"")</f>
        <v/>
      </c>
    </row>
    <row r="60">
      <c r="A60" s="8" t="str">
        <f>IFERROR(__xludf.DUMMYFUNCTION("""COMPUTED_VALUE"""),"BC-SUP-011")</f>
        <v>BC-SUP-011</v>
      </c>
      <c r="B60" s="8" t="str">
        <f>IFERROR(__xludf.DUMMYFUNCTION("""COMPUTED_VALUE"""),"suplements")</f>
        <v>suplements</v>
      </c>
      <c r="C60" s="8" t="str">
        <f>IFERROR(__xludf.DUMMYFUNCTION("""COMPUTED_VALUE"""),"VERDURES EXTRA")</f>
        <v>VERDURES EXTRA</v>
      </c>
      <c r="D60" s="8" t="str">
        <f>IFERROR(__xludf.DUMMYFUNCTION("""COMPUTED_VALUE"""),"")</f>
        <v/>
      </c>
      <c r="E60" s="9">
        <f>IFERROR(__xludf.DUMMYFUNCTION("""COMPUTED_VALUE"""),2.25)</f>
        <v>2.25</v>
      </c>
      <c r="F60" s="8" t="str">
        <f>IFERROR(__xludf.DUMMYFUNCTION("""COMPUTED_VALUE"""),"")</f>
        <v/>
      </c>
    </row>
    <row r="61">
      <c r="A61" s="8" t="str">
        <f>IFERROR(__xludf.DUMMYFUNCTION("""COMPUTED_VALUE"""),"BC-SUP-012")</f>
        <v>BC-SUP-012</v>
      </c>
      <c r="B61" s="8" t="str">
        <f>IFERROR(__xludf.DUMMYFUNCTION("""COMPUTED_VALUE"""),"suplements")</f>
        <v>suplements</v>
      </c>
      <c r="C61" s="8" t="str">
        <f>IFERROR(__xludf.DUMMYFUNCTION("""COMPUTED_VALUE"""),"TOMÀQUET")</f>
        <v>TOMÀQUET</v>
      </c>
      <c r="D61" s="8" t="str">
        <f>IFERROR(__xludf.DUMMYFUNCTION("""COMPUTED_VALUE"""),"")</f>
        <v/>
      </c>
      <c r="E61" s="9">
        <f>IFERROR(__xludf.DUMMYFUNCTION("""COMPUTED_VALUE"""),2.25)</f>
        <v>2.25</v>
      </c>
      <c r="F61" s="8" t="str">
        <f>IFERROR(__xludf.DUMMYFUNCTION("""COMPUTED_VALUE"""),"")</f>
        <v/>
      </c>
    </row>
    <row r="62">
      <c r="A62" s="8" t="str">
        <f>IFERROR(__xludf.DUMMYFUNCTION("""COMPUTED_VALUE"""),"BC-SUP-013")</f>
        <v>BC-SUP-013</v>
      </c>
      <c r="B62" s="8" t="str">
        <f>IFERROR(__xludf.DUMMYFUNCTION("""COMPUTED_VALUE"""),"suplements")</f>
        <v>suplements</v>
      </c>
      <c r="C62" s="8" t="str">
        <f>IFERROR(__xludf.DUMMYFUNCTION("""COMPUTED_VALUE"""),"SALSES")</f>
        <v>SALSES</v>
      </c>
      <c r="D62" s="8" t="str">
        <f>IFERROR(__xludf.DUMMYFUNCTION("""COMPUTED_VALUE"""),"")</f>
        <v/>
      </c>
      <c r="E62" s="9">
        <f>IFERROR(__xludf.DUMMYFUNCTION("""COMPUTED_VALUE"""),2.0)</f>
        <v>2</v>
      </c>
      <c r="F62" s="8" t="str">
        <f>IFERROR(__xludf.DUMMYFUNCTION("""COMPUTED_VALUE"""),"")</f>
        <v/>
      </c>
    </row>
    <row r="63">
      <c r="A63" s="8" t="str">
        <f>IFERROR(__xludf.DUMMYFUNCTION("""COMPUTED_VALUE"""),"BC-SUP-014")</f>
        <v>BC-SUP-014</v>
      </c>
      <c r="B63" s="8" t="str">
        <f>IFERROR(__xludf.DUMMYFUNCTION("""COMPUTED_VALUE"""),"suplements")</f>
        <v>suplements</v>
      </c>
      <c r="C63" s="8" t="str">
        <f>IFERROR(__xludf.DUMMYFUNCTION("""COMPUTED_VALUE"""),"GUANCIALE")</f>
        <v>GUANCIALE</v>
      </c>
      <c r="D63" s="8" t="str">
        <f>IFERROR(__xludf.DUMMYFUNCTION("""COMPUTED_VALUE"""),"")</f>
        <v/>
      </c>
      <c r="E63" s="9">
        <f>IFERROR(__xludf.DUMMYFUNCTION("""COMPUTED_VALUE"""),3.75)</f>
        <v>3.75</v>
      </c>
      <c r="F63" s="8" t="str">
        <f>IFERROR(__xludf.DUMMYFUNCTION("""COMPUTED_VALUE"""),"")</f>
        <v/>
      </c>
    </row>
    <row r="64">
      <c r="A64" s="8" t="str">
        <f>IFERROR(__xludf.DUMMYFUNCTION("""COMPUTED_VALUE"""),"BC-SUP-015")</f>
        <v>BC-SUP-015</v>
      </c>
      <c r="B64" s="8" t="str">
        <f>IFERROR(__xludf.DUMMYFUNCTION("""COMPUTED_VALUE"""),"suplements")</f>
        <v>suplements</v>
      </c>
      <c r="C64" s="8" t="str">
        <f>IFERROR(__xludf.DUMMYFUNCTION("""COMPUTED_VALUE"""),"PARMESÀ")</f>
        <v>PARMESÀ</v>
      </c>
      <c r="D64" s="8" t="str">
        <f>IFERROR(__xludf.DUMMYFUNCTION("""COMPUTED_VALUE"""),"")</f>
        <v/>
      </c>
      <c r="E64" s="9">
        <f>IFERROR(__xludf.DUMMYFUNCTION("""COMPUTED_VALUE"""),3.5)</f>
        <v>3.5</v>
      </c>
      <c r="F64" s="8" t="str">
        <f>IFERROR(__xludf.DUMMYFUNCTION("""COMPUTED_VALUE"""),"")</f>
        <v/>
      </c>
    </row>
    <row r="65">
      <c r="A65" s="8" t="str">
        <f>IFERROR(__xludf.DUMMYFUNCTION("""COMPUTED_VALUE"""),"BC-SUP-016")</f>
        <v>BC-SUP-016</v>
      </c>
      <c r="B65" s="8" t="str">
        <f>IFERROR(__xludf.DUMMYFUNCTION("""COMPUTED_VALUE"""),"suplements")</f>
        <v>suplements</v>
      </c>
      <c r="C65" s="8" t="str">
        <f>IFERROR(__xludf.DUMMYFUNCTION("""COMPUTED_VALUE"""),"GAMBES")</f>
        <v>GAMBES</v>
      </c>
      <c r="D65" s="8" t="str">
        <f>IFERROR(__xludf.DUMMYFUNCTION("""COMPUTED_VALUE"""),"")</f>
        <v/>
      </c>
      <c r="E65" s="9">
        <f>IFERROR(__xludf.DUMMYFUNCTION("""COMPUTED_VALUE"""),5.25)</f>
        <v>5.25</v>
      </c>
      <c r="F65" s="8" t="str">
        <f>IFERROR(__xludf.DUMMYFUNCTION("""COMPUTED_VALUE"""),"")</f>
        <v/>
      </c>
    </row>
    <row r="66">
      <c r="A66" s="8" t="str">
        <f>IFERROR(__xludf.DUMMYFUNCTION("""COMPUTED_VALUE"""),"BC-SUP-017")</f>
        <v>BC-SUP-017</v>
      </c>
      <c r="B66" s="8" t="str">
        <f>IFERROR(__xludf.DUMMYFUNCTION("""COMPUTED_VALUE"""),"suplements")</f>
        <v>suplements</v>
      </c>
      <c r="C66" s="8" t="str">
        <f>IFERROR(__xludf.DUMMYFUNCTION("""COMPUTED_VALUE"""),"OLIVES")</f>
        <v>OLIVES</v>
      </c>
      <c r="D66" s="8" t="str">
        <f>IFERROR(__xludf.DUMMYFUNCTION("""COMPUTED_VALUE"""),"")</f>
        <v/>
      </c>
      <c r="E66" s="9">
        <f>IFERROR(__xludf.DUMMYFUNCTION("""COMPUTED_VALUE"""),1.5)</f>
        <v>1.5</v>
      </c>
      <c r="F66" s="8" t="str">
        <f>IFERROR(__xludf.DUMMYFUNCTION("""COMPUTED_VALUE"""),"")</f>
        <v/>
      </c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88"/>
  </cols>
  <sheetData>
    <row r="1" ht="28.5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16</v>
      </c>
    </row>
    <row r="2">
      <c r="A2" s="8" t="str">
        <f>IFERROR(__xludf.DUMMYFUNCTION("IFERROR(FILTER(HSTACK(MAESTRA!A2:A200,MAESTRA!C2:C200,IF(CONTROL!$B$4=""CAT"",MAESTRA!D2:D200,IF(CONTROL!$B$4=""ES"",MAESTRA!F2:F200,IF(CONTROL!$B$4=""FR"",MAESTRA!H2:H200,MAESTRA!J2:J200))),IF(CONTROL!$B$4=""CAT"",MAESTRA!E2:E200,IF(CONTROL!$B$4=""ES"",M"&amp;"AESTRA!G2:G200,IF(CONTROL!$B$4=""FR"",MAESTRA!I2:I200,MAESTRA!K2:K200))),MAESTRA!L2:L200,MAESTRA!R2:R200),MAESTRA!A2:A200&lt;&gt;"""",MAESTRA!O2:O200=TRUE),"""")"),"BC-001")</f>
        <v>BC-001</v>
      </c>
      <c r="B2" s="8" t="str">
        <f>IFERROR(__xludf.DUMMYFUNCTION("""COMPUTED_VALUE"""),"entrants")</f>
        <v>entrants</v>
      </c>
      <c r="C2" s="8" t="str">
        <f>IFERROR(__xludf.DUMMYFUNCTION("""COMPUTED_VALUE"""),"PA DE PIZZA")</f>
        <v>PA DE PIZZA</v>
      </c>
      <c r="D2" s="8" t="str">
        <f>IFERROR(__xludf.DUMMYFUNCTION("""COMPUTED_VALUE"""),"Massa normal / integral")</f>
        <v>Massa normal / integral</v>
      </c>
      <c r="E2" s="9">
        <f>IFERROR(__xludf.DUMMYFUNCTION("""COMPUTED_VALUE"""),5.0)</f>
        <v>5</v>
      </c>
      <c r="F2" s="8" t="str">
        <f>IFERROR(__xludf.DUMMYFUNCTION("""COMPUTED_VALUE"""),"")</f>
        <v/>
      </c>
    </row>
    <row r="3">
      <c r="A3" s="8" t="str">
        <f>IFERROR(__xludf.DUMMYFUNCTION("""COMPUTED_VALUE"""),"BC-002")</f>
        <v>BC-002</v>
      </c>
      <c r="B3" s="8" t="str">
        <f>IFERROR(__xludf.DUMMYFUNCTION("""COMPUTED_VALUE"""),"entrants")</f>
        <v>entrants</v>
      </c>
      <c r="C3" s="8" t="str">
        <f>IFERROR(__xludf.DUMMYFUNCTION("""COMPUTED_VALUE"""),"FOCACCIA")</f>
        <v>FOCACCIA</v>
      </c>
      <c r="D3" s="8" t="str">
        <f>IFERROR(__xludf.DUMMYFUNCTION("""COMPUTED_VALUE"""),"")</f>
        <v/>
      </c>
      <c r="E3" s="9">
        <f>IFERROR(__xludf.DUMMYFUNCTION("""COMPUTED_VALUE"""),5.0)</f>
        <v>5</v>
      </c>
      <c r="F3" s="8" t="str">
        <f>IFERROR(__xludf.DUMMYFUNCTION("""COMPUTED_VALUE"""),"")</f>
        <v/>
      </c>
    </row>
    <row r="4">
      <c r="A4" s="8" t="str">
        <f>IFERROR(__xludf.DUMMYFUNCTION("""COMPUTED_VALUE"""),"BC-003")</f>
        <v>BC-003</v>
      </c>
      <c r="B4" s="8" t="str">
        <f>IFERROR(__xludf.DUMMYFUNCTION("""COMPUTED_VALUE"""),"entrants")</f>
        <v>entrants</v>
      </c>
      <c r="C4" s="8" t="str">
        <f>IFERROR(__xludf.DUMMYFUNCTION("""COMPUTED_VALUE"""),"PROVOLONE")</f>
        <v>PROVOLONE</v>
      </c>
      <c r="D4" s="8" t="str">
        <f>IFERROR(__xludf.DUMMYFUNCTION("""COMPUTED_VALUE"""),"")</f>
        <v/>
      </c>
      <c r="E4" s="9">
        <f>IFERROR(__xludf.DUMMYFUNCTION("""COMPUTED_VALUE"""),10.0)</f>
        <v>10</v>
      </c>
      <c r="F4" s="8" t="str">
        <f>IFERROR(__xludf.DUMMYFUNCTION("""COMPUTED_VALUE"""),"")</f>
        <v/>
      </c>
    </row>
    <row r="5">
      <c r="A5" s="8" t="str">
        <f>IFERROR(__xludf.DUMMYFUNCTION("""COMPUTED_VALUE"""),"BC-004")</f>
        <v>BC-004</v>
      </c>
      <c r="B5" s="8" t="str">
        <f>IFERROR(__xludf.DUMMYFUNCTION("""COMPUTED_VALUE"""),"entrants")</f>
        <v>entrants</v>
      </c>
      <c r="C5" s="8" t="str">
        <f>IFERROR(__xludf.DUMMYFUNCTION("""COMPUTED_VALUE"""),"POLPETTINES D’ALBERGÍNIA")</f>
        <v>POLPETTINES D’ALBERGÍNIA</v>
      </c>
      <c r="D5" s="8" t="str">
        <f>IFERROR(__xludf.DUMMYFUNCTION("""COMPUTED_VALUE"""),"6 unitats (cada unitat addicional +1,75 €)")</f>
        <v>6 unitats (cada unitat addicional +1,75 €)</v>
      </c>
      <c r="E5" s="9">
        <f>IFERROR(__xludf.DUMMYFUNCTION("""COMPUTED_VALUE"""),9.0)</f>
        <v>9</v>
      </c>
      <c r="F5" s="8" t="str">
        <f>IFERROR(__xludf.DUMMYFUNCTION("""COMPUTED_VALUE"""),"")</f>
        <v/>
      </c>
    </row>
    <row r="6">
      <c r="A6" s="8" t="str">
        <f>IFERROR(__xludf.DUMMYFUNCTION("""COMPUTED_VALUE"""),"BC-005")</f>
        <v>BC-005</v>
      </c>
      <c r="B6" s="8" t="str">
        <f>IFERROR(__xludf.DUMMYFUNCTION("""COMPUTED_VALUE"""),"entrants")</f>
        <v>entrants</v>
      </c>
      <c r="C6" s="8" t="str">
        <f>IFERROR(__xludf.DUMMYFUNCTION("""COMPUTED_VALUE"""),"VITELLO TONNATO")</f>
        <v>VITELLO TONNATO</v>
      </c>
      <c r="D6" s="8" t="str">
        <f>IFERROR(__xludf.DUMMYFUNCTION("""COMPUTED_VALUE"""),"Utilitzem carn de vedell / amb salsa de tonyina")</f>
        <v>Utilitzem carn de vedell / amb salsa de tonyina</v>
      </c>
      <c r="E6" s="9">
        <f>IFERROR(__xludf.DUMMYFUNCTION("""COMPUTED_VALUE"""),16.5)</f>
        <v>16.5</v>
      </c>
      <c r="F6" s="8" t="str">
        <f>IFERROR(__xludf.DUMMYFUNCTION("""COMPUTED_VALUE"""),"")</f>
        <v/>
      </c>
    </row>
    <row r="7">
      <c r="A7" s="8" t="str">
        <f>IFERROR(__xludf.DUMMYFUNCTION("""COMPUTED_VALUE"""),"BC-006")</f>
        <v>BC-006</v>
      </c>
      <c r="B7" s="8" t="str">
        <f>IFERROR(__xludf.DUMMYFUNCTION("""COMPUTED_VALUE"""),"entrants")</f>
        <v>entrants</v>
      </c>
      <c r="C7" s="8" t="str">
        <f>IFERROR(__xludf.DUMMYFUNCTION("""COMPUTED_VALUE"""),"BURRATA")</f>
        <v>BURRATA</v>
      </c>
      <c r="D7" s="8" t="str">
        <f>IFERROR(__xludf.DUMMYFUNCTION("""COMPUTED_VALUE"""),"Amb salsa pesto o tòfona / tomàquet sec casolà / ruca / pa")</f>
        <v>Amb salsa pesto o tòfona / tomàquet sec casolà / ruca / pa</v>
      </c>
      <c r="E7" s="9">
        <f>IFERROR(__xludf.DUMMYFUNCTION("""COMPUTED_VALUE"""),15.5)</f>
        <v>15.5</v>
      </c>
      <c r="F7" s="8" t="str">
        <f>IFERROR(__xludf.DUMMYFUNCTION("""COMPUTED_VALUE"""),"")</f>
        <v/>
      </c>
    </row>
    <row r="8">
      <c r="A8" s="8" t="str">
        <f>IFERROR(__xludf.DUMMYFUNCTION("""COMPUTED_VALUE"""),"BC-007")</f>
        <v>BC-007</v>
      </c>
      <c r="B8" s="8" t="str">
        <f>IFERROR(__xludf.DUMMYFUNCTION("""COMPUTED_VALUE"""),"entrants")</f>
        <v>entrants</v>
      </c>
      <c r="C8" s="8" t="str">
        <f>IFERROR(__xludf.DUMMYFUNCTION("""COMPUTED_VALUE"""),"CARPACCIO DE CARBASSÓ")</f>
        <v>CARPACCIO DE CARBASSÓ</v>
      </c>
      <c r="D8" s="8" t="str">
        <f>IFERROR(__xludf.DUMMYFUNCTION("""COMPUTED_VALUE"""),"Amb tomàquets secs, stracciatella i pinyons")</f>
        <v>Amb tomàquets secs, stracciatella i pinyons</v>
      </c>
      <c r="E8" s="9">
        <f>IFERROR(__xludf.DUMMYFUNCTION("""COMPUTED_VALUE"""),15.5)</f>
        <v>15.5</v>
      </c>
      <c r="F8" s="8" t="str">
        <f>IFERROR(__xludf.DUMMYFUNCTION("""COMPUTED_VALUE"""),"")</f>
        <v/>
      </c>
    </row>
    <row r="9">
      <c r="A9" s="8" t="str">
        <f>IFERROR(__xludf.DUMMYFUNCTION("""COMPUTED_VALUE"""),"BC-008")</f>
        <v>BC-008</v>
      </c>
      <c r="B9" s="8" t="str">
        <f>IFERROR(__xludf.DUMMYFUNCTION("""COMPUTED_VALUE"""),"amanides")</f>
        <v>amanides</v>
      </c>
      <c r="C9" s="8" t="str">
        <f>IFERROR(__xludf.DUMMYFUNCTION("""COMPUTED_VALUE"""),"BELLA CIAO")</f>
        <v>BELLA CIAO</v>
      </c>
      <c r="D9" s="8" t="str">
        <f>IFERROR(__xludf.DUMMYFUNCTION("""COMPUTED_VALUE"""),"Albergínia / tomàquet / filadèlfia / julivert / menta / salsa de xili dolça / sèsamo")</f>
        <v>Albergínia / tomàquet / filadèlfia / julivert / menta / salsa de xili dolça / sèsamo</v>
      </c>
      <c r="E9" s="9">
        <f>IFERROR(__xludf.DUMMYFUNCTION("""COMPUTED_VALUE"""),16.0)</f>
        <v>16</v>
      </c>
      <c r="F9" s="8" t="str">
        <f>IFERROR(__xludf.DUMMYFUNCTION("""COMPUTED_VALUE"""),"")</f>
        <v/>
      </c>
    </row>
    <row r="10">
      <c r="A10" s="8" t="str">
        <f>IFERROR(__xludf.DUMMYFUNCTION("""COMPUTED_VALUE"""),"BC-009")</f>
        <v>BC-009</v>
      </c>
      <c r="B10" s="8" t="str">
        <f>IFERROR(__xludf.DUMMYFUNCTION("""COMPUTED_VALUE"""),"amanides")</f>
        <v>amanides</v>
      </c>
      <c r="C10" s="8" t="str">
        <f>IFERROR(__xludf.DUMMYFUNCTION("""COMPUTED_VALUE"""),"BUFALATA")</f>
        <v>BUFALATA</v>
      </c>
      <c r="D10" s="8" t="str">
        <f>IFERROR(__xludf.DUMMYFUNCTION("""COMPUTED_VALUE"""),"Mesclum / burrata / bresaola / nous / olives")</f>
        <v>Mesclum / burrata / bresaola / nous / olives</v>
      </c>
      <c r="E10" s="9">
        <f>IFERROR(__xludf.DUMMYFUNCTION("""COMPUTED_VALUE"""),16.0)</f>
        <v>16</v>
      </c>
      <c r="F10" s="8" t="str">
        <f>IFERROR(__xludf.DUMMYFUNCTION("""COMPUTED_VALUE"""),"")</f>
        <v/>
      </c>
    </row>
    <row r="11">
      <c r="A11" s="8" t="str">
        <f>IFERROR(__xludf.DUMMYFUNCTION("""COMPUTED_VALUE"""),"BC-010")</f>
        <v>BC-010</v>
      </c>
      <c r="B11" s="8" t="str">
        <f>IFERROR(__xludf.DUMMYFUNCTION("""COMPUTED_VALUE"""),"amanides")</f>
        <v>amanides</v>
      </c>
      <c r="C11" s="8" t="str">
        <f>IFERROR(__xludf.DUMMYFUNCTION("""COMPUTED_VALUE"""),"CÈSAR")</f>
        <v>CÈSAR</v>
      </c>
      <c r="D11" s="8" t="str">
        <f>IFERROR(__xludf.DUMMYFUNCTION("""COMPUTED_VALUE"""),"Enciam / pollastre / crostons / cherry / parmesà / salsa cèsar")</f>
        <v>Enciam / pollastre / crostons / cherry / parmesà / salsa cèsar</v>
      </c>
      <c r="E11" s="9">
        <f>IFERROR(__xludf.DUMMYFUNCTION("""COMPUTED_VALUE"""),16.0)</f>
        <v>16</v>
      </c>
      <c r="F11" s="8" t="str">
        <f>IFERROR(__xludf.DUMMYFUNCTION("""COMPUTED_VALUE"""),"")</f>
        <v/>
      </c>
    </row>
    <row r="12">
      <c r="A12" s="8" t="str">
        <f>IFERROR(__xludf.DUMMYFUNCTION("""COMPUTED_VALUE"""),"BC-011")</f>
        <v>BC-011</v>
      </c>
      <c r="B12" s="8" t="str">
        <f>IFERROR(__xludf.DUMMYFUNCTION("""COMPUTED_VALUE"""),"amanides")</f>
        <v>amanides</v>
      </c>
      <c r="C12" s="8" t="str">
        <f>IFERROR(__xludf.DUMMYFUNCTION("""COMPUTED_VALUE"""),"CABRA")</f>
        <v>CABRA</v>
      </c>
      <c r="D12" s="8" t="str">
        <f>IFERROR(__xludf.DUMMYFUNCTION("""COMPUTED_VALUE"""),"Mesclum / cherry / escalivada / albergínia, pebre, ceba / nous / cabra / balsàmic")</f>
        <v>Mesclum / cherry / escalivada / albergínia, pebre, ceba / nous / cabra / balsàmic</v>
      </c>
      <c r="E12" s="9">
        <f>IFERROR(__xludf.DUMMYFUNCTION("""COMPUTED_VALUE"""),16.0)</f>
        <v>16</v>
      </c>
      <c r="F12" s="8" t="str">
        <f>IFERROR(__xludf.DUMMYFUNCTION("""COMPUTED_VALUE"""),"")</f>
        <v/>
      </c>
    </row>
    <row r="13">
      <c r="A13" s="8" t="str">
        <f>IFERROR(__xludf.DUMMYFUNCTION("""COMPUTED_VALUE"""),"BC-012")</f>
        <v>BC-012</v>
      </c>
      <c r="B13" s="8" t="str">
        <f>IFERROR(__xludf.DUMMYFUNCTION("""COMPUTED_VALUE"""),"amanides")</f>
        <v>amanides</v>
      </c>
      <c r="C13" s="8" t="str">
        <f>IFERROR(__xludf.DUMMYFUNCTION("""COMPUTED_VALUE"""),"LUNA CAPRESE")</f>
        <v>LUNA CAPRESE</v>
      </c>
      <c r="D13" s="8" t="str">
        <f>IFERROR(__xludf.DUMMYFUNCTION("""COMPUTED_VALUE"""),"Tomàquet / mozzarella / salsa pesto / ruca / salsa mòdena")</f>
        <v>Tomàquet / mozzarella / salsa pesto / ruca / salsa mòdena</v>
      </c>
      <c r="E13" s="9">
        <f>IFERROR(__xludf.DUMMYFUNCTION("""COMPUTED_VALUE"""),15.5)</f>
        <v>15.5</v>
      </c>
      <c r="F13" s="8" t="str">
        <f>IFERROR(__xludf.DUMMYFUNCTION("""COMPUTED_VALUE"""),"")</f>
        <v/>
      </c>
    </row>
    <row r="14">
      <c r="A14" s="8" t="str">
        <f>IFERROR(__xludf.DUMMYFUNCTION("""COMPUTED_VALUE"""),"BC-013")</f>
        <v>BC-013</v>
      </c>
      <c r="B14" s="8" t="str">
        <f>IFERROR(__xludf.DUMMYFUNCTION("""COMPUTED_VALUE"""),"sopes")</f>
        <v>sopes</v>
      </c>
      <c r="C14" s="8" t="str">
        <f>IFERROR(__xludf.DUMMYFUNCTION("""COMPUTED_VALUE"""),"SOPA DE LLENTIES")</f>
        <v>SOPA DE LLENTIES</v>
      </c>
      <c r="D14" s="8" t="str">
        <f>IFERROR(__xludf.DUMMYFUNCTION("""COMPUTED_VALUE"""),"")</f>
        <v/>
      </c>
      <c r="E14" s="9">
        <f>IFERROR(__xludf.DUMMYFUNCTION("""COMPUTED_VALUE"""),6.0)</f>
        <v>6</v>
      </c>
      <c r="F14" s="8" t="str">
        <f>IFERROR(__xludf.DUMMYFUNCTION("""COMPUTED_VALUE"""),"")</f>
        <v/>
      </c>
    </row>
    <row r="15">
      <c r="A15" s="8" t="str">
        <f>IFERROR(__xludf.DUMMYFUNCTION("""COMPUTED_VALUE"""),"BC-014")</f>
        <v>BC-014</v>
      </c>
      <c r="B15" s="8" t="str">
        <f>IFERROR(__xludf.DUMMYFUNCTION("""COMPUTED_VALUE"""),"sopes")</f>
        <v>sopes</v>
      </c>
      <c r="C15" s="8" t="str">
        <f>IFERROR(__xludf.DUMMYFUNCTION("""COMPUTED_VALUE"""),"SOPA DE BROCOLI")</f>
        <v>SOPA DE BROCOLI</v>
      </c>
      <c r="D15" s="8" t="str">
        <f>IFERROR(__xludf.DUMMYFUNCTION("""COMPUTED_VALUE"""),"")</f>
        <v/>
      </c>
      <c r="E15" s="9">
        <f>IFERROR(__xludf.DUMMYFUNCTION("""COMPUTED_VALUE"""),6.0)</f>
        <v>6</v>
      </c>
      <c r="F15" s="8" t="str">
        <f>IFERROR(__xludf.DUMMYFUNCTION("""COMPUTED_VALUE"""),"")</f>
        <v/>
      </c>
    </row>
    <row r="16">
      <c r="A16" s="8" t="str">
        <f>IFERROR(__xludf.DUMMYFUNCTION("""COMPUTED_VALUE"""),"BC-015")</f>
        <v>BC-015</v>
      </c>
      <c r="B16" s="8" t="str">
        <f>IFERROR(__xludf.DUMMYFUNCTION("""COMPUTED_VALUE"""),"carn")</f>
        <v>carn</v>
      </c>
      <c r="C16" s="8" t="str">
        <f>IFERROR(__xludf.DUMMYFUNCTION("""COMPUTED_VALUE"""),"CARPACCIO DE BOU")</f>
        <v>CARPACCIO DE BOU</v>
      </c>
      <c r="D16" s="8" t="str">
        <f>IFERROR(__xludf.DUMMYFUNCTION("""COMPUTED_VALUE"""),"")</f>
        <v/>
      </c>
      <c r="E16" s="9">
        <f>IFERROR(__xludf.DUMMYFUNCTION("""COMPUTED_VALUE"""),15.0)</f>
        <v>15</v>
      </c>
      <c r="F16" s="8" t="str">
        <f>IFERROR(__xludf.DUMMYFUNCTION("""COMPUTED_VALUE"""),"")</f>
        <v/>
      </c>
    </row>
    <row r="17">
      <c r="A17" s="8" t="str">
        <f>IFERROR(__xludf.DUMMYFUNCTION("""COMPUTED_VALUE"""),"BC-016")</f>
        <v>BC-016</v>
      </c>
      <c r="B17" s="8" t="str">
        <f>IFERROR(__xludf.DUMMYFUNCTION("""COMPUTED_VALUE"""),"carn")</f>
        <v>carn</v>
      </c>
      <c r="C17" s="8" t="str">
        <f>IFERROR(__xludf.DUMMYFUNCTION("""COMPUTED_VALUE"""),"ENTRECOT DE BOU")</f>
        <v>ENTRECOT DE BOU</v>
      </c>
      <c r="D17" s="8" t="str">
        <f>IFERROR(__xludf.DUMMYFUNCTION("""COMPUTED_VALUE"""),"")</f>
        <v/>
      </c>
      <c r="E17" s="9">
        <f>IFERROR(__xludf.DUMMYFUNCTION("""COMPUTED_VALUE"""),8.5)</f>
        <v>8.5</v>
      </c>
      <c r="F17" s="8" t="str">
        <f>IFERROR(__xludf.DUMMYFUNCTION("""COMPUTED_VALUE"""),"")</f>
        <v/>
      </c>
    </row>
    <row r="18">
      <c r="A18" s="8" t="str">
        <f>IFERROR(__xludf.DUMMYFUNCTION("""COMPUTED_VALUE"""),"BC-017")</f>
        <v>BC-017</v>
      </c>
      <c r="B18" s="8" t="str">
        <f>IFERROR(__xludf.DUMMYFUNCTION("""COMPUTED_VALUE"""),"carn")</f>
        <v>carn</v>
      </c>
      <c r="C18" s="8" t="str">
        <f>IFERROR(__xludf.DUMMYFUNCTION("""COMPUTED_VALUE"""),"EMBOTITS ITALIANS")</f>
        <v>EMBOTITS ITALIANS</v>
      </c>
      <c r="D18" s="8" t="str">
        <f>IFERROR(__xludf.DUMMYFUNCTION("""COMPUTED_VALUE"""),"Bresaola / salami / mortadel·la de tòfona / mortadel·la de pistatxos / la piatta piccante")</f>
        <v>Bresaola / salami / mortadel·la de tòfona / mortadel·la de pistatxos / la piatta piccante</v>
      </c>
      <c r="E18" s="9">
        <f>IFERROR(__xludf.DUMMYFUNCTION("""COMPUTED_VALUE"""),22.5)</f>
        <v>22.5</v>
      </c>
      <c r="F18" s="8" t="str">
        <f>IFERROR(__xludf.DUMMYFUNCTION("""COMPUTED_VALUE"""),"")</f>
        <v/>
      </c>
    </row>
    <row r="19">
      <c r="A19" s="8" t="str">
        <f>IFERROR(__xludf.DUMMYFUNCTION("""COMPUTED_VALUE"""),"BC-018")</f>
        <v>BC-018</v>
      </c>
      <c r="B19" s="8" t="str">
        <f>IFERROR(__xludf.DUMMYFUNCTION("""COMPUTED_VALUE"""),"pasta")</f>
        <v>pasta</v>
      </c>
      <c r="C19" s="8" t="str">
        <f>IFERROR(__xludf.DUMMYFUNCTION("""COMPUTED_VALUE"""),"BIGOLI ALLA NAPOLITANA")</f>
        <v>BIGOLI ALLA NAPOLITANA</v>
      </c>
      <c r="D19" s="8" t="str">
        <f>IFERROR(__xludf.DUMMYFUNCTION("""COMPUTED_VALUE"""),"Pasta amb tomàquets")</f>
        <v>Pasta amb tomàquets</v>
      </c>
      <c r="E19" s="9">
        <f>IFERROR(__xludf.DUMMYFUNCTION("""COMPUTED_VALUE"""),9.5)</f>
        <v>9.5</v>
      </c>
      <c r="F19" s="8" t="str">
        <f>IFERROR(__xludf.DUMMYFUNCTION("""COMPUTED_VALUE"""),"")</f>
        <v/>
      </c>
    </row>
    <row r="20">
      <c r="A20" s="8" t="str">
        <f>IFERROR(__xludf.DUMMYFUNCTION("""COMPUTED_VALUE"""),"BC-019")</f>
        <v>BC-019</v>
      </c>
      <c r="B20" s="8" t="str">
        <f>IFERROR(__xludf.DUMMYFUNCTION("""COMPUTED_VALUE"""),"pasta")</f>
        <v>pasta</v>
      </c>
      <c r="C20" s="8" t="str">
        <f>IFERROR(__xludf.DUMMYFUNCTION("""COMPUTED_VALUE"""),"TAGLIATELLE TARTUFATA")</f>
        <v>TAGLIATELLE TARTUFATA</v>
      </c>
      <c r="D20" s="8" t="str">
        <f>IFERROR(__xludf.DUMMYFUNCTION("""COMPUTED_VALUE"""),"Amb crema de tòfona")</f>
        <v>Amb crema de tòfona</v>
      </c>
      <c r="E20" s="9">
        <f>IFERROR(__xludf.DUMMYFUNCTION("""COMPUTED_VALUE"""),14.0)</f>
        <v>14</v>
      </c>
      <c r="F20" s="8" t="str">
        <f>IFERROR(__xludf.DUMMYFUNCTION("""COMPUTED_VALUE"""),"")</f>
        <v/>
      </c>
    </row>
    <row r="21">
      <c r="A21" s="8" t="str">
        <f>IFERROR(__xludf.DUMMYFUNCTION("""COMPUTED_VALUE"""),"BC-020")</f>
        <v>BC-020</v>
      </c>
      <c r="B21" s="8" t="str">
        <f>IFERROR(__xludf.DUMMYFUNCTION("""COMPUTED_VALUE"""),"pasta")</f>
        <v>pasta</v>
      </c>
      <c r="C21" s="8" t="str">
        <f>IFERROR(__xludf.DUMMYFUNCTION("""COMPUTED_VALUE"""),"GARGANELLI ALL’ARRABBIATA")</f>
        <v>GARGANELLI ALL’ARRABBIATA</v>
      </c>
      <c r="D21" s="8" t="str">
        <f>IFERROR(__xludf.DUMMYFUNCTION("""COMPUTED_VALUE"""),"Salsa picant tradicional casolana")</f>
        <v>Salsa picant tradicional casolana</v>
      </c>
      <c r="E21" s="9">
        <f>IFERROR(__xludf.DUMMYFUNCTION("""COMPUTED_VALUE"""),14.0)</f>
        <v>14</v>
      </c>
      <c r="F21" s="8" t="str">
        <f>IFERROR(__xludf.DUMMYFUNCTION("""COMPUTED_VALUE"""),"")</f>
        <v/>
      </c>
    </row>
    <row r="22">
      <c r="A22" s="8" t="str">
        <f>IFERROR(__xludf.DUMMYFUNCTION("""COMPUTED_VALUE"""),"BC-021")</f>
        <v>BC-021</v>
      </c>
      <c r="B22" s="8" t="str">
        <f>IFERROR(__xludf.DUMMYFUNCTION("""COMPUTED_VALUE"""),"pasta")</f>
        <v>pasta</v>
      </c>
      <c r="C22" s="8" t="str">
        <f>IFERROR(__xludf.DUMMYFUNCTION("""COMPUTED_VALUE"""),"SPAGHETTI RAGÚ ALLA BOLOGNESE")</f>
        <v>SPAGHETTI RAGÚ ALLA BOLOGNESE</v>
      </c>
      <c r="D22" s="8" t="str">
        <f>IFERROR(__xludf.DUMMYFUNCTION("""COMPUTED_VALUE"""),"Salsa casolana de carn d'Andorra")</f>
        <v>Salsa casolana de carn d'Andorra</v>
      </c>
      <c r="E22" s="9">
        <f>IFERROR(__xludf.DUMMYFUNCTION("""COMPUTED_VALUE"""),15.5)</f>
        <v>15.5</v>
      </c>
      <c r="F22" s="8" t="str">
        <f>IFERROR(__xludf.DUMMYFUNCTION("""COMPUTED_VALUE"""),"")</f>
        <v/>
      </c>
    </row>
    <row r="23">
      <c r="A23" s="8" t="str">
        <f>IFERROR(__xludf.DUMMYFUNCTION("""COMPUTED_VALUE"""),"BC-022")</f>
        <v>BC-022</v>
      </c>
      <c r="B23" s="8" t="str">
        <f>IFERROR(__xludf.DUMMYFUNCTION("""COMPUTED_VALUE"""),"pasta")</f>
        <v>pasta</v>
      </c>
      <c r="C23" s="8" t="str">
        <f>IFERROR(__xludf.DUMMYFUNCTION("""COMPUTED_VALUE"""),"TAGLIATELLE 4 FORMATGES")</f>
        <v>TAGLIATELLE 4 FORMATGES</v>
      </c>
      <c r="D23" s="8" t="str">
        <f>IFERROR(__xludf.DUMMYFUNCTION("""COMPUTED_VALUE"""),"Mozzarella / cabra / emmental / gorgonzola")</f>
        <v>Mozzarella / cabra / emmental / gorgonzola</v>
      </c>
      <c r="E23" s="9">
        <f>IFERROR(__xludf.DUMMYFUNCTION("""COMPUTED_VALUE"""),15.5)</f>
        <v>15.5</v>
      </c>
      <c r="F23" s="8" t="str">
        <f>IFERROR(__xludf.DUMMYFUNCTION("""COMPUTED_VALUE"""),"")</f>
        <v/>
      </c>
    </row>
    <row r="24">
      <c r="A24" s="8" t="str">
        <f>IFERROR(__xludf.DUMMYFUNCTION("""COMPUTED_VALUE"""),"BC-023")</f>
        <v>BC-023</v>
      </c>
      <c r="B24" s="8" t="str">
        <f>IFERROR(__xludf.DUMMYFUNCTION("""COMPUTED_VALUE"""),"pasta")</f>
        <v>pasta</v>
      </c>
      <c r="C24" s="8" t="str">
        <f>IFERROR(__xludf.DUMMYFUNCTION("""COMPUTED_VALUE"""),"LINGUINE D’ALL I ALFÀBREGA AMB PESTO")</f>
        <v>LINGUINE D’ALL I ALFÀBREGA AMB PESTO</v>
      </c>
      <c r="D24" s="8" t="str">
        <f>IFERROR(__xludf.DUMMYFUNCTION("""COMPUTED_VALUE"""),"Salsa casolana d’alfàbrega de quilòmetre 0")</f>
        <v>Salsa casolana d’alfàbrega de quilòmetre 0</v>
      </c>
      <c r="E24" s="9">
        <f>IFERROR(__xludf.DUMMYFUNCTION("""COMPUTED_VALUE"""),15.5)</f>
        <v>15.5</v>
      </c>
      <c r="F24" s="8" t="str">
        <f>IFERROR(__xludf.DUMMYFUNCTION("""COMPUTED_VALUE"""),"")</f>
        <v/>
      </c>
    </row>
    <row r="25">
      <c r="A25" s="8" t="str">
        <f>IFERROR(__xludf.DUMMYFUNCTION("""COMPUTED_VALUE"""),"BC-024")</f>
        <v>BC-024</v>
      </c>
      <c r="B25" s="8" t="str">
        <f>IFERROR(__xludf.DUMMYFUNCTION("""COMPUTED_VALUE"""),"pasta")</f>
        <v>pasta</v>
      </c>
      <c r="C25" s="8" t="str">
        <f>IFERROR(__xludf.DUMMYFUNCTION("""COMPUTED_VALUE"""),"BIGOLI ALLA CARBONARA")</f>
        <v>BIGOLI ALLA CARBONARA</v>
      </c>
      <c r="D25" s="8" t="str">
        <f>IFERROR(__xludf.DUMMYFUNCTION("""COMPUTED_VALUE"""),"Recepta tradicional amb ous i guanciale")</f>
        <v>Recepta tradicional amb ous i guanciale</v>
      </c>
      <c r="E25" s="9">
        <f>IFERROR(__xludf.DUMMYFUNCTION("""COMPUTED_VALUE"""),17.0)</f>
        <v>17</v>
      </c>
      <c r="F25" s="8" t="str">
        <f>IFERROR(__xludf.DUMMYFUNCTION("""COMPUTED_VALUE"""),"")</f>
        <v/>
      </c>
    </row>
    <row r="26">
      <c r="A26" s="8" t="str">
        <f>IFERROR(__xludf.DUMMYFUNCTION("""COMPUTED_VALUE"""),"BC-025")</f>
        <v>BC-025</v>
      </c>
      <c r="B26" s="8" t="str">
        <f>IFERROR(__xludf.DUMMYFUNCTION("""COMPUTED_VALUE"""),"pasta")</f>
        <v>pasta</v>
      </c>
      <c r="C26" s="8" t="str">
        <f>IFERROR(__xludf.DUMMYFUNCTION("""COMPUTED_VALUE"""),"SPAGHETTI NERI FRUTTI DI MARE")</f>
        <v>SPAGHETTI NERI FRUTTI DI MARE</v>
      </c>
      <c r="D26" s="8" t="str">
        <f>IFERROR(__xludf.DUMMYFUNCTION("""COMPUTED_VALUE"""),"Salsa de tomàquets cherry / gambes / cloïsses / musclos")</f>
        <v>Salsa de tomàquets cherry / gambes / cloïsses / musclos</v>
      </c>
      <c r="E26" s="9">
        <f>IFERROR(__xludf.DUMMYFUNCTION("""COMPUTED_VALUE"""),22.0)</f>
        <v>22</v>
      </c>
      <c r="F26" s="8" t="str">
        <f>IFERROR(__xludf.DUMMYFUNCTION("""COMPUTED_VALUE"""),"")</f>
        <v/>
      </c>
    </row>
    <row r="27">
      <c r="A27" s="8" t="str">
        <f>IFERROR(__xludf.DUMMYFUNCTION("""COMPUTED_VALUE"""),"BC-026")</f>
        <v>BC-026</v>
      </c>
      <c r="B27" s="8" t="str">
        <f>IFERROR(__xludf.DUMMYFUNCTION("""COMPUTED_VALUE"""),"pasta_farcida")</f>
        <v>pasta_farcida</v>
      </c>
      <c r="C27" s="8" t="str">
        <f>IFERROR(__xludf.DUMMYFUNCTION("""COMPUTED_VALUE"""),"RAVIOLIS DE BOLETS")</f>
        <v>RAVIOLIS DE BOLETS</v>
      </c>
      <c r="D27" s="8" t="str">
        <f>IFERROR(__xludf.DUMMYFUNCTION("""COMPUTED_VALUE"""),"Servit amb salsa casolana de pesto")</f>
        <v>Servit amb salsa casolana de pesto</v>
      </c>
      <c r="E27" s="9">
        <f>IFERROR(__xludf.DUMMYFUNCTION("""COMPUTED_VALUE"""),17.5)</f>
        <v>17.5</v>
      </c>
      <c r="F27" s="8" t="str">
        <f>IFERROR(__xludf.DUMMYFUNCTION("""COMPUTED_VALUE"""),"")</f>
        <v/>
      </c>
    </row>
    <row r="28">
      <c r="A28" s="8" t="str">
        <f>IFERROR(__xludf.DUMMYFUNCTION("""COMPUTED_VALUE"""),"BC-027")</f>
        <v>BC-027</v>
      </c>
      <c r="B28" s="8" t="str">
        <f>IFERROR(__xludf.DUMMYFUNCTION("""COMPUTED_VALUE"""),"pasta_farcida")</f>
        <v>pasta_farcida</v>
      </c>
      <c r="C28" s="8" t="str">
        <f>IFERROR(__xludf.DUMMYFUNCTION("""COMPUTED_VALUE"""),"FIOCCHI AMB PERA I RICOTTA")</f>
        <v>FIOCCHI AMB PERA I RICOTTA</v>
      </c>
      <c r="D28" s="8" t="str">
        <f>IFERROR(__xludf.DUMMYFUNCTION("""COMPUTED_VALUE"""),"Servit amb crema de carbassa casolana")</f>
        <v>Servit amb crema de carbassa casolana</v>
      </c>
      <c r="E28" s="9">
        <f>IFERROR(__xludf.DUMMYFUNCTION("""COMPUTED_VALUE"""),17.0)</f>
        <v>17</v>
      </c>
      <c r="F28" s="8" t="str">
        <f>IFERROR(__xludf.DUMMYFUNCTION("""COMPUTED_VALUE"""),"")</f>
        <v/>
      </c>
    </row>
    <row r="29">
      <c r="A29" s="8" t="str">
        <f>IFERROR(__xludf.DUMMYFUNCTION("""COMPUTED_VALUE"""),"BC-028")</f>
        <v>BC-028</v>
      </c>
      <c r="B29" s="8" t="str">
        <f>IFERROR(__xludf.DUMMYFUNCTION("""COMPUTED_VALUE"""),"pasta_farcida")</f>
        <v>pasta_farcida</v>
      </c>
      <c r="C29" s="8" t="str">
        <f>IFERROR(__xludf.DUMMYFUNCTION("""COMPUTED_VALUE"""),"CANELONS DE CARN")</f>
        <v>CANELONS DE CARN</v>
      </c>
      <c r="D29" s="8" t="str">
        <f>IFERROR(__xludf.DUMMYFUNCTION("""COMPUTED_VALUE"""),"Canelons fets per nosaltres servits amb salsa boloñesa casolana")</f>
        <v>Canelons fets per nosaltres servits amb salsa boloñesa casolana</v>
      </c>
      <c r="E29" s="9">
        <f>IFERROR(__xludf.DUMMYFUNCTION("""COMPUTED_VALUE"""),13.5)</f>
        <v>13.5</v>
      </c>
      <c r="F29" s="8" t="str">
        <f>IFERROR(__xludf.DUMMYFUNCTION("""COMPUTED_VALUE"""),"")</f>
        <v/>
      </c>
    </row>
    <row r="30">
      <c r="A30" s="8" t="str">
        <f>IFERROR(__xludf.DUMMYFUNCTION("""COMPUTED_VALUE"""),"BC-029")</f>
        <v>BC-029</v>
      </c>
      <c r="B30" s="8" t="str">
        <f>IFERROR(__xludf.DUMMYFUNCTION("""COMPUTED_VALUE"""),"pasta_farcida")</f>
        <v>pasta_farcida</v>
      </c>
      <c r="C30" s="8" t="str">
        <f>IFERROR(__xludf.DUMMYFUNCTION("""COMPUTED_VALUE"""),"NYOQUIS")</f>
        <v>NYOQUIS</v>
      </c>
      <c r="D30" s="8" t="str">
        <f>IFERROR(__xludf.DUMMYFUNCTION("""COMPUTED_VALUE"""),"Crema de tomàquet fresc i stracciatella")</f>
        <v>Crema de tomàquet fresc i stracciatella</v>
      </c>
      <c r="E30" s="9">
        <f>IFERROR(__xludf.DUMMYFUNCTION("""COMPUTED_VALUE"""),16.0)</f>
        <v>16</v>
      </c>
      <c r="F30" s="8" t="str">
        <f>IFERROR(__xludf.DUMMYFUNCTION("""COMPUTED_VALUE"""),"")</f>
        <v/>
      </c>
    </row>
    <row r="31">
      <c r="A31" s="8" t="str">
        <f>IFERROR(__xludf.DUMMYFUNCTION("""COMPUTED_VALUE"""),"BC-030")</f>
        <v>BC-030</v>
      </c>
      <c r="B31" s="8" t="str">
        <f>IFERROR(__xludf.DUMMYFUNCTION("""COMPUTED_VALUE"""),"pasta_farcida")</f>
        <v>pasta_farcida</v>
      </c>
      <c r="C31" s="8" t="str">
        <f>IFERROR(__xludf.DUMMYFUNCTION("""COMPUTED_VALUE"""),"LASANYA BOLONYESA")</f>
        <v>LASANYA BOLONYESA</v>
      </c>
      <c r="D31" s="8" t="str">
        <f>IFERROR(__xludf.DUMMYFUNCTION("""COMPUTED_VALUE"""),"Feta per nosaltres / salsa bolonyesa casolana")</f>
        <v>Feta per nosaltres / salsa bolonyesa casolana</v>
      </c>
      <c r="E31" s="9">
        <f>IFERROR(__xludf.DUMMYFUNCTION("""COMPUTED_VALUE"""),15.5)</f>
        <v>15.5</v>
      </c>
      <c r="F31" s="8" t="str">
        <f>IFERROR(__xludf.DUMMYFUNCTION("""COMPUTED_VALUE"""),"")</f>
        <v/>
      </c>
    </row>
    <row r="32">
      <c r="A32" s="8" t="str">
        <f>IFERROR(__xludf.DUMMYFUNCTION("""COMPUTED_VALUE"""),"BC-031")</f>
        <v>BC-031</v>
      </c>
      <c r="B32" s="8" t="str">
        <f>IFERROR(__xludf.DUMMYFUNCTION("""COMPUTED_VALUE"""),"pasta_farcida")</f>
        <v>pasta_farcida</v>
      </c>
      <c r="C32" s="8" t="str">
        <f>IFERROR(__xludf.DUMMYFUNCTION("""COMPUTED_VALUE"""),"RISOTTO DE BOLETS")</f>
        <v>RISOTTO DE BOLETS</v>
      </c>
      <c r="D32" s="8" t="str">
        <f>IFERROR(__xludf.DUMMYFUNCTION("""COMPUTED_VALUE"""),"Amb crema de tòfona")</f>
        <v>Amb crema de tòfona</v>
      </c>
      <c r="E32" s="9">
        <f>IFERROR(__xludf.DUMMYFUNCTION("""COMPUTED_VALUE"""),19.0)</f>
        <v>19</v>
      </c>
      <c r="F32" s="8" t="str">
        <f>IFERROR(__xludf.DUMMYFUNCTION("""COMPUTED_VALUE"""),"")</f>
        <v/>
      </c>
    </row>
    <row r="33">
      <c r="A33" s="8" t="str">
        <f>IFERROR(__xludf.DUMMYFUNCTION("""COMPUTED_VALUE"""),"BC-032")</f>
        <v>BC-032</v>
      </c>
      <c r="B33" s="8" t="str">
        <f>IFERROR(__xludf.DUMMYFUNCTION("""COMPUTED_VALUE"""),"pizzes")</f>
        <v>pizzes</v>
      </c>
      <c r="C33" s="8" t="str">
        <f>IFERROR(__xludf.DUMMYFUNCTION("""COMPUTED_VALUE"""),"MARGARITA")</f>
        <v>MARGARITA</v>
      </c>
      <c r="D33" s="8" t="str">
        <f>IFERROR(__xludf.DUMMYFUNCTION("""COMPUTED_VALUE"""),"Tomàquet / mozzarella")</f>
        <v>Tomàquet / mozzarella</v>
      </c>
      <c r="E33" s="9">
        <f>IFERROR(__xludf.DUMMYFUNCTION("""COMPUTED_VALUE"""),12.0)</f>
        <v>12</v>
      </c>
      <c r="F33" s="8" t="str">
        <f>IFERROR(__xludf.DUMMYFUNCTION("""COMPUTED_VALUE"""),"")</f>
        <v/>
      </c>
    </row>
    <row r="34">
      <c r="A34" s="8" t="str">
        <f>IFERROR(__xludf.DUMMYFUNCTION("""COMPUTED_VALUE"""),"BC-033")</f>
        <v>BC-033</v>
      </c>
      <c r="B34" s="8" t="str">
        <f>IFERROR(__xludf.DUMMYFUNCTION("""COMPUTED_VALUE"""),"pizzes")</f>
        <v>pizzes</v>
      </c>
      <c r="C34" s="8" t="str">
        <f>IFERROR(__xludf.DUMMYFUNCTION("""COMPUTED_VALUE"""),"PROSCIUTO")</f>
        <v>PROSCIUTO</v>
      </c>
      <c r="D34" s="8" t="str">
        <f>IFERROR(__xludf.DUMMYFUNCTION("""COMPUTED_VALUE"""),"Tomàquet / mozzarella / pernil dolç")</f>
        <v>Tomàquet / mozzarella / pernil dolç</v>
      </c>
      <c r="E34" s="9">
        <f>IFERROR(__xludf.DUMMYFUNCTION("""COMPUTED_VALUE"""),14.5)</f>
        <v>14.5</v>
      </c>
      <c r="F34" s="8" t="str">
        <f>IFERROR(__xludf.DUMMYFUNCTION("""COMPUTED_VALUE"""),"")</f>
        <v/>
      </c>
    </row>
    <row r="35">
      <c r="A35" s="8" t="str">
        <f>IFERROR(__xludf.DUMMYFUNCTION("""COMPUTED_VALUE"""),"BC-034")</f>
        <v>BC-034</v>
      </c>
      <c r="B35" s="8" t="str">
        <f>IFERROR(__xludf.DUMMYFUNCTION("""COMPUTED_VALUE"""),"pizzes")</f>
        <v>pizzes</v>
      </c>
      <c r="C35" s="8" t="str">
        <f>IFERROR(__xludf.DUMMYFUNCTION("""COMPUTED_VALUE"""),"REGINA")</f>
        <v>REGINA</v>
      </c>
      <c r="D35" s="8" t="str">
        <f>IFERROR(__xludf.DUMMYFUNCTION("""COMPUTED_VALUE"""),"Tomàquet / mozzarella / pernil dolç / xampinyons")</f>
        <v>Tomàquet / mozzarella / pernil dolç / xampinyons</v>
      </c>
      <c r="E35" s="9">
        <f>IFERROR(__xludf.DUMMYFUNCTION("""COMPUTED_VALUE"""),15.0)</f>
        <v>15</v>
      </c>
      <c r="F35" s="8" t="str">
        <f>IFERROR(__xludf.DUMMYFUNCTION("""COMPUTED_VALUE"""),"")</f>
        <v/>
      </c>
    </row>
    <row r="36">
      <c r="A36" s="8" t="str">
        <f>IFERROR(__xludf.DUMMYFUNCTION("""COMPUTED_VALUE"""),"BC-035")</f>
        <v>BC-035</v>
      </c>
      <c r="B36" s="8" t="str">
        <f>IFERROR(__xludf.DUMMYFUNCTION("""COMPUTED_VALUE"""),"pizzes")</f>
        <v>pizzes</v>
      </c>
      <c r="C36" s="8" t="str">
        <f>IFERROR(__xludf.DUMMYFUNCTION("""COMPUTED_VALUE"""),"CALZONE")</f>
        <v>CALZONE</v>
      </c>
      <c r="D36" s="8" t="str">
        <f>IFERROR(__xludf.DUMMYFUNCTION("""COMPUTED_VALUE"""),"Tomàquet / mozzarella / pernil dolç / ou")</f>
        <v>Tomàquet / mozzarella / pernil dolç / ou</v>
      </c>
      <c r="E36" s="9">
        <f>IFERROR(__xludf.DUMMYFUNCTION("""COMPUTED_VALUE"""),17.0)</f>
        <v>17</v>
      </c>
      <c r="F36" s="8" t="str">
        <f>IFERROR(__xludf.DUMMYFUNCTION("""COMPUTED_VALUE"""),"")</f>
        <v/>
      </c>
    </row>
    <row r="37">
      <c r="A37" s="8" t="str">
        <f>IFERROR(__xludf.DUMMYFUNCTION("""COMPUTED_VALUE"""),"BC-036")</f>
        <v>BC-036</v>
      </c>
      <c r="B37" s="8" t="str">
        <f>IFERROR(__xludf.DUMMYFUNCTION("""COMPUTED_VALUE"""),"pizzes")</f>
        <v>pizzes</v>
      </c>
      <c r="C37" s="8" t="str">
        <f>IFERROR(__xludf.DUMMYFUNCTION("""COMPUTED_VALUE"""),"PEPPERONI")</f>
        <v>PEPPERONI</v>
      </c>
      <c r="D37" s="8" t="str">
        <f>IFERROR(__xludf.DUMMYFUNCTION("""COMPUTED_VALUE"""),"Tomàquet / mozzarella / pepperoni / bitxo verd")</f>
        <v>Tomàquet / mozzarella / pepperoni / bitxo verd</v>
      </c>
      <c r="E37" s="9">
        <f>IFERROR(__xludf.DUMMYFUNCTION("""COMPUTED_VALUE"""),15.5)</f>
        <v>15.5</v>
      </c>
      <c r="F37" s="8" t="str">
        <f>IFERROR(__xludf.DUMMYFUNCTION("""COMPUTED_VALUE"""),"")</f>
        <v/>
      </c>
    </row>
    <row r="38">
      <c r="A38" s="8" t="str">
        <f>IFERROR(__xludf.DUMMYFUNCTION("""COMPUTED_VALUE"""),"BC-037")</f>
        <v>BC-037</v>
      </c>
      <c r="B38" s="8" t="str">
        <f>IFERROR(__xludf.DUMMYFUNCTION("""COMPUTED_VALUE"""),"pizzes")</f>
        <v>pizzes</v>
      </c>
      <c r="C38" s="8" t="str">
        <f>IFERROR(__xludf.DUMMYFUNCTION("""COMPUTED_VALUE"""),"CAPRESE")</f>
        <v>CAPRESE</v>
      </c>
      <c r="D38" s="8" t="str">
        <f>IFERROR(__xludf.DUMMYFUNCTION("""COMPUTED_VALUE"""),"Tomàquet / mozzarella fresca / tomàquet sec casolà / alfàbrega")</f>
        <v>Tomàquet / mozzarella fresca / tomàquet sec casolà / alfàbrega</v>
      </c>
      <c r="E38" s="9">
        <f>IFERROR(__xludf.DUMMYFUNCTION("""COMPUTED_VALUE"""),15.5)</f>
        <v>15.5</v>
      </c>
      <c r="F38" s="8" t="str">
        <f>IFERROR(__xludf.DUMMYFUNCTION("""COMPUTED_VALUE"""),"")</f>
        <v/>
      </c>
    </row>
    <row r="39">
      <c r="A39" s="8" t="str">
        <f>IFERROR(__xludf.DUMMYFUNCTION("""COMPUTED_VALUE"""),"BC-038")</f>
        <v>BC-038</v>
      </c>
      <c r="B39" s="8" t="str">
        <f>IFERROR(__xludf.DUMMYFUNCTION("""COMPUTED_VALUE"""),"pizzes")</f>
        <v>pizzes</v>
      </c>
      <c r="C39" s="8" t="str">
        <f>IFERROR(__xludf.DUMMYFUNCTION("""COMPUTED_VALUE"""),"GAMBES")</f>
        <v>GAMBES</v>
      </c>
      <c r="D39" s="8" t="str">
        <f>IFERROR(__xludf.DUMMYFUNCTION("""COMPUTED_VALUE"""),"Tomàquet / mozzarella / gambes / all-julivert / oli")</f>
        <v>Tomàquet / mozzarella / gambes / all-julivert / oli</v>
      </c>
      <c r="E39" s="9">
        <f>IFERROR(__xludf.DUMMYFUNCTION("""COMPUTED_VALUE"""),18.0)</f>
        <v>18</v>
      </c>
      <c r="F39" s="8" t="str">
        <f>IFERROR(__xludf.DUMMYFUNCTION("""COMPUTED_VALUE"""),"")</f>
        <v/>
      </c>
    </row>
    <row r="40">
      <c r="A40" s="8" t="str">
        <f>IFERROR(__xludf.DUMMYFUNCTION("""COMPUTED_VALUE"""),"BC-039")</f>
        <v>BC-039</v>
      </c>
      <c r="B40" s="8" t="str">
        <f>IFERROR(__xludf.DUMMYFUNCTION("""COMPUTED_VALUE"""),"pizzes")</f>
        <v>pizzes</v>
      </c>
      <c r="C40" s="8" t="str">
        <f>IFERROR(__xludf.DUMMYFUNCTION("""COMPUTED_VALUE"""),"IBÉRICA")</f>
        <v>IBÉRICA</v>
      </c>
      <c r="D40" s="8" t="str">
        <f>IFERROR(__xludf.DUMMYFUNCTION("""COMPUTED_VALUE"""),"Tomàquet / mozzarella / pernil ibèric / parmesà / ruca")</f>
        <v>Tomàquet / mozzarella / pernil ibèric / parmesà / ruca</v>
      </c>
      <c r="E40" s="9">
        <f>IFERROR(__xludf.DUMMYFUNCTION("""COMPUTED_VALUE"""),18.5)</f>
        <v>18.5</v>
      </c>
      <c r="F40" s="8" t="str">
        <f>IFERROR(__xludf.DUMMYFUNCTION("""COMPUTED_VALUE"""),"")</f>
        <v/>
      </c>
    </row>
    <row r="41">
      <c r="A41" s="8" t="str">
        <f>IFERROR(__xludf.DUMMYFUNCTION("""COMPUTED_VALUE"""),"BC-040")</f>
        <v>BC-040</v>
      </c>
      <c r="B41" s="8" t="str">
        <f>IFERROR(__xludf.DUMMYFUNCTION("""COMPUTED_VALUE"""),"pizzes")</f>
        <v>pizzes</v>
      </c>
      <c r="C41" s="8" t="str">
        <f>IFERROR(__xludf.DUMMYFUNCTION("""COMPUTED_VALUE"""),"4 ESTACIONS")</f>
        <v>4 ESTACIONS</v>
      </c>
      <c r="D41" s="8" t="str">
        <f>IFERROR(__xludf.DUMMYFUNCTION("""COMPUTED_VALUE"""),"Tomàquet / mozzarella / pernil dolç / xampinyons / carxofes / olives")</f>
        <v>Tomàquet / mozzarella / pernil dolç / xampinyons / carxofes / olives</v>
      </c>
      <c r="E41" s="9">
        <f>IFERROR(__xludf.DUMMYFUNCTION("""COMPUTED_VALUE"""),16.0)</f>
        <v>16</v>
      </c>
      <c r="F41" s="8" t="str">
        <f>IFERROR(__xludf.DUMMYFUNCTION("""COMPUTED_VALUE"""),"")</f>
        <v/>
      </c>
    </row>
    <row r="42">
      <c r="A42" s="8" t="str">
        <f>IFERROR(__xludf.DUMMYFUNCTION("""COMPUTED_VALUE"""),"BC-041")</f>
        <v>BC-041</v>
      </c>
      <c r="B42" s="8" t="str">
        <f>IFERROR(__xludf.DUMMYFUNCTION("""COMPUTED_VALUE"""),"pizzes")</f>
        <v>pizzes</v>
      </c>
      <c r="C42" s="8" t="str">
        <f>IFERROR(__xludf.DUMMYFUNCTION("""COMPUTED_VALUE"""),"BELLA CIAO")</f>
        <v>BELLA CIAO</v>
      </c>
      <c r="D42" s="8" t="str">
        <f>IFERROR(__xludf.DUMMYFUNCTION("""COMPUTED_VALUE"""),"Tomàquet / mozzarella / bologna / burrata / vinagreta de pistatxo")</f>
        <v>Tomàquet / mozzarella / bologna / burrata / vinagreta de pistatxo</v>
      </c>
      <c r="E42" s="9">
        <f>IFERROR(__xludf.DUMMYFUNCTION("""COMPUTED_VALUE"""),17.5)</f>
        <v>17.5</v>
      </c>
      <c r="F42" s="8" t="str">
        <f>IFERROR(__xludf.DUMMYFUNCTION("""COMPUTED_VALUE"""),"")</f>
        <v/>
      </c>
    </row>
    <row r="43">
      <c r="A43" s="8" t="str">
        <f>IFERROR(__xludf.DUMMYFUNCTION("""COMPUTED_VALUE"""),"BC-042")</f>
        <v>BC-042</v>
      </c>
      <c r="B43" s="8" t="str">
        <f>IFERROR(__xludf.DUMMYFUNCTION("""COMPUTED_VALUE"""),"pizzes")</f>
        <v>pizzes</v>
      </c>
      <c r="C43" s="8" t="str">
        <f>IFERROR(__xludf.DUMMYFUNCTION("""COMPUTED_VALUE"""),"ITALIANA")</f>
        <v>ITALIANA</v>
      </c>
      <c r="D43" s="8" t="str">
        <f>IFERROR(__xludf.DUMMYFUNCTION("""COMPUTED_VALUE"""),"Tomàquet / ruca / mozzarella / cherry / burrata / salsa pesto")</f>
        <v>Tomàquet / ruca / mozzarella / cherry / burrata / salsa pesto</v>
      </c>
      <c r="E43" s="9">
        <f>IFERROR(__xludf.DUMMYFUNCTION("""COMPUTED_VALUE"""),18.0)</f>
        <v>18</v>
      </c>
      <c r="F43" s="8" t="str">
        <f>IFERROR(__xludf.DUMMYFUNCTION("""COMPUTED_VALUE"""),"")</f>
        <v/>
      </c>
    </row>
    <row r="44">
      <c r="A44" s="8" t="str">
        <f>IFERROR(__xludf.DUMMYFUNCTION("""COMPUTED_VALUE"""),"BC-043")</f>
        <v>BC-043</v>
      </c>
      <c r="B44" s="8" t="str">
        <f>IFERROR(__xludf.DUMMYFUNCTION("""COMPUTED_VALUE"""),"pizzes")</f>
        <v>pizzes</v>
      </c>
      <c r="C44" s="8" t="str">
        <f>IFERROR(__xludf.DUMMYFUNCTION("""COMPUTED_VALUE"""),"VEGETARIANA")</f>
        <v>VEGETARIANA</v>
      </c>
      <c r="D44" s="8" t="str">
        <f>IFERROR(__xludf.DUMMYFUNCTION("""COMPUTED_VALUE"""),"Tomàquet / mozzarella / pebrot / carxofes / xampinyons / ceba")</f>
        <v>Tomàquet / mozzarella / pebrot / carxofes / xampinyons / ceba</v>
      </c>
      <c r="E44" s="9">
        <f>IFERROR(__xludf.DUMMYFUNCTION("""COMPUTED_VALUE"""),16.5)</f>
        <v>16.5</v>
      </c>
      <c r="F44" s="8" t="str">
        <f>IFERROR(__xludf.DUMMYFUNCTION("""COMPUTED_VALUE"""),"")</f>
        <v/>
      </c>
    </row>
    <row r="45">
      <c r="A45" s="8" t="str">
        <f>IFERROR(__xludf.DUMMYFUNCTION("""COMPUTED_VALUE"""),"BC-044")</f>
        <v>BC-044</v>
      </c>
      <c r="B45" s="8" t="str">
        <f>IFERROR(__xludf.DUMMYFUNCTION("""COMPUTED_VALUE"""),"pizzes_blanques")</f>
        <v>pizzes_blanques</v>
      </c>
      <c r="C45" s="8" t="str">
        <f>IFERROR(__xludf.DUMMYFUNCTION("""COMPUTED_VALUE"""),"TARTUFATA")</f>
        <v>TARTUFATA</v>
      </c>
      <c r="D45" s="8" t="str">
        <f>IFERROR(__xludf.DUMMYFUNCTION("""COMPUTED_VALUE"""),"Mozzarella / crema de tòfona / romaní / parmesà")</f>
        <v>Mozzarella / crema de tòfona / romaní / parmesà</v>
      </c>
      <c r="E45" s="9">
        <f>IFERROR(__xludf.DUMMYFUNCTION("""COMPUTED_VALUE"""),15.5)</f>
        <v>15.5</v>
      </c>
      <c r="F45" s="8" t="str">
        <f>IFERROR(__xludf.DUMMYFUNCTION("""COMPUTED_VALUE"""),"")</f>
        <v/>
      </c>
    </row>
    <row r="46">
      <c r="A46" s="8" t="str">
        <f>IFERROR(__xludf.DUMMYFUNCTION("""COMPUTED_VALUE"""),"BC-045")</f>
        <v>BC-045</v>
      </c>
      <c r="B46" s="8" t="str">
        <f>IFERROR(__xludf.DUMMYFUNCTION("""COMPUTED_VALUE"""),"pizzes_blanques")</f>
        <v>pizzes_blanques</v>
      </c>
      <c r="C46" s="8" t="str">
        <f>IFERROR(__xludf.DUMMYFUNCTION("""COMPUTED_VALUE"""),"5 FORMATGES")</f>
        <v>5 FORMATGES</v>
      </c>
      <c r="D46" s="8" t="str">
        <f>IFERROR(__xludf.DUMMYFUNCTION("""COMPUTED_VALUE"""),"Mozzarella / cabra / emmental / roquefort / parmesà")</f>
        <v>Mozzarella / cabra / emmental / roquefort / parmesà</v>
      </c>
      <c r="E46" s="9">
        <f>IFERROR(__xludf.DUMMYFUNCTION("""COMPUTED_VALUE"""),16.5)</f>
        <v>16.5</v>
      </c>
      <c r="F46" s="8" t="str">
        <f>IFERROR(__xludf.DUMMYFUNCTION("""COMPUTED_VALUE"""),"")</f>
        <v/>
      </c>
    </row>
    <row r="47">
      <c r="A47" s="8" t="str">
        <f>IFERROR(__xludf.DUMMYFUNCTION("""COMPUTED_VALUE"""),"BC-046")</f>
        <v>BC-046</v>
      </c>
      <c r="B47" s="8" t="str">
        <f>IFERROR(__xludf.DUMMYFUNCTION("""COMPUTED_VALUE"""),"pizzes_blanques")</f>
        <v>pizzes_blanques</v>
      </c>
      <c r="C47" s="8" t="str">
        <f>IFERROR(__xludf.DUMMYFUNCTION("""COMPUTED_VALUE"""),"FOCACCIA TONNO")</f>
        <v>FOCACCIA TONNO</v>
      </c>
      <c r="D47" s="8" t="str">
        <f>IFERROR(__xludf.DUMMYFUNCTION("""COMPUTED_VALUE"""),"Mozzarella / maionesa / tonyina / tomàquet / ceba / ruca")</f>
        <v>Mozzarella / maionesa / tonyina / tomàquet / ceba / ruca</v>
      </c>
      <c r="E47" s="9">
        <f>IFERROR(__xludf.DUMMYFUNCTION("""COMPUTED_VALUE"""),18.0)</f>
        <v>18</v>
      </c>
      <c r="F47" s="8" t="str">
        <f>IFERROR(__xludf.DUMMYFUNCTION("""COMPUTED_VALUE"""),"")</f>
        <v/>
      </c>
    </row>
    <row r="48">
      <c r="A48" s="8" t="str">
        <f>IFERROR(__xludf.DUMMYFUNCTION("""COMPUTED_VALUE"""),"BC-047")</f>
        <v>BC-047</v>
      </c>
      <c r="B48" s="8" t="str">
        <f>IFERROR(__xludf.DUMMYFUNCTION("""COMPUTED_VALUE"""),"pizzes_blanques")</f>
        <v>pizzes_blanques</v>
      </c>
      <c r="C48" s="8" t="str">
        <f>IFERROR(__xludf.DUMMYFUNCTION("""COMPUTED_VALUE"""),"CARBONARA")</f>
        <v>CARBONARA</v>
      </c>
      <c r="D48" s="8" t="str">
        <f>IFERROR(__xludf.DUMMYFUNCTION("""COMPUTED_VALUE"""),"Mozzarella / nata / guanciale / ceba / ou / parmesà")</f>
        <v>Mozzarella / nata / guanciale / ceba / ou / parmesà</v>
      </c>
      <c r="E48" s="9">
        <f>IFERROR(__xludf.DUMMYFUNCTION("""COMPUTED_VALUE"""),16.0)</f>
        <v>16</v>
      </c>
      <c r="F48" s="8" t="str">
        <f>IFERROR(__xludf.DUMMYFUNCTION("""COMPUTED_VALUE"""),"")</f>
        <v/>
      </c>
    </row>
    <row r="49">
      <c r="A49" s="8" t="str">
        <f>IFERROR(__xludf.DUMMYFUNCTION("""COMPUTED_VALUE"""),"BC-048")</f>
        <v>BC-048</v>
      </c>
      <c r="B49" s="8" t="str">
        <f>IFERROR(__xludf.DUMMYFUNCTION("""COMPUTED_VALUE"""),"postres")</f>
        <v>postres</v>
      </c>
      <c r="C49" s="8" t="str">
        <f>IFERROR(__xludf.DUMMYFUNCTION("""COMPUTED_VALUE"""),"TIRAMISÚ CLÀSSIC")</f>
        <v>TIRAMISÚ CLÀSSIC</v>
      </c>
      <c r="D49" s="8" t="str">
        <f>IFERROR(__xludf.DUMMYFUNCTION("""COMPUTED_VALUE"""),"")</f>
        <v/>
      </c>
      <c r="E49" s="9">
        <f>IFERROR(__xludf.DUMMYFUNCTION("""COMPUTED_VALUE"""),7.0)</f>
        <v>7</v>
      </c>
      <c r="F49" s="8" t="str">
        <f>IFERROR(__xludf.DUMMYFUNCTION("""COMPUTED_VALUE"""),"")</f>
        <v/>
      </c>
    </row>
    <row r="50">
      <c r="A50" s="8" t="str">
        <f>IFERROR(__xludf.DUMMYFUNCTION("""COMPUTED_VALUE"""),"BC-049")</f>
        <v>BC-049</v>
      </c>
      <c r="B50" s="8" t="str">
        <f>IFERROR(__xludf.DUMMYFUNCTION("""COMPUTED_VALUE"""),"postres")</f>
        <v>postres</v>
      </c>
      <c r="C50" s="8" t="str">
        <f>IFERROR(__xludf.DUMMYFUNCTION("""COMPUTED_VALUE"""),"TIRAMISÚ DE FESTUCS")</f>
        <v>TIRAMISÚ DE FESTUCS</v>
      </c>
      <c r="D50" s="8" t="str">
        <f>IFERROR(__xludf.DUMMYFUNCTION("""COMPUTED_VALUE"""),"")</f>
        <v/>
      </c>
      <c r="E50" s="9">
        <f>IFERROR(__xludf.DUMMYFUNCTION("""COMPUTED_VALUE"""),8.0)</f>
        <v>8</v>
      </c>
      <c r="F50" s="8" t="str">
        <f>IFERROR(__xludf.DUMMYFUNCTION("""COMPUTED_VALUE"""),"")</f>
        <v/>
      </c>
    </row>
    <row r="51">
      <c r="A51" s="8" t="str">
        <f>IFERROR(__xludf.DUMMYFUNCTION("""COMPUTED_VALUE"""),"BC-050")</f>
        <v>BC-050</v>
      </c>
      <c r="B51" s="8" t="str">
        <f>IFERROR(__xludf.DUMMYFUNCTION("""COMPUTED_VALUE"""),"postres")</f>
        <v>postres</v>
      </c>
      <c r="C51" s="8" t="str">
        <f>IFERROR(__xludf.DUMMYFUNCTION("""COMPUTED_VALUE"""),"GELAT ARTESANAL")</f>
        <v>GELAT ARTESANAL</v>
      </c>
      <c r="D51" s="8" t="str">
        <f>IFERROR(__xludf.DUMMYFUNCTION("""COMPUTED_VALUE"""),"")</f>
        <v/>
      </c>
      <c r="E51" s="9">
        <f>IFERROR(__xludf.DUMMYFUNCTION("""COMPUTED_VALUE"""),5.0)</f>
        <v>5</v>
      </c>
      <c r="F51" s="8" t="str">
        <f>IFERROR(__xludf.DUMMYFUNCTION("""COMPUTED_VALUE"""),"")</f>
        <v/>
      </c>
    </row>
    <row r="52">
      <c r="A52" s="8" t="str">
        <f>IFERROR(__xludf.DUMMYFUNCTION("""COMPUTED_VALUE"""),"BC-051")</f>
        <v>BC-051</v>
      </c>
      <c r="B52" s="8" t="str">
        <f>IFERROR(__xludf.DUMMYFUNCTION("""COMPUTED_VALUE"""),"postres")</f>
        <v>postres</v>
      </c>
      <c r="C52" s="8" t="str">
        <f>IFERROR(__xludf.DUMMYFUNCTION("""COMPUTED_VALUE"""),"PANNA COTTA")</f>
        <v>PANNA COTTA</v>
      </c>
      <c r="D52" s="8" t="str">
        <f>IFERROR(__xludf.DUMMYFUNCTION("""COMPUTED_VALUE"""),"De romaní amb ginebra i préssec")</f>
        <v>De romaní amb ginebra i préssec</v>
      </c>
      <c r="E52" s="9">
        <f>IFERROR(__xludf.DUMMYFUNCTION("""COMPUTED_VALUE"""),6.5)</f>
        <v>6.5</v>
      </c>
      <c r="F52" s="8" t="str">
        <f>IFERROR(__xludf.DUMMYFUNCTION("""COMPUTED_VALUE"""),"")</f>
        <v/>
      </c>
    </row>
    <row r="53">
      <c r="A53" s="8" t="str">
        <f>IFERROR(__xludf.DUMMYFUNCTION("""COMPUTED_VALUE"""),"BC-052")</f>
        <v>BC-052</v>
      </c>
      <c r="B53" s="8" t="str">
        <f>IFERROR(__xludf.DUMMYFUNCTION("""COMPUTED_VALUE"""),"postres")</f>
        <v>postres</v>
      </c>
      <c r="C53" s="8" t="str">
        <f>IFERROR(__xludf.DUMMYFUNCTION("""COMPUTED_VALUE"""),"COULANT DE XOCOLATA")</f>
        <v>COULANT DE XOCOLATA</v>
      </c>
      <c r="D53" s="8" t="str">
        <f>IFERROR(__xludf.DUMMYFUNCTION("""COMPUTED_VALUE"""),"")</f>
        <v/>
      </c>
      <c r="E53" s="9">
        <f>IFERROR(__xludf.DUMMYFUNCTION("""COMPUTED_VALUE"""),5.0)</f>
        <v>5</v>
      </c>
      <c r="F53" s="8" t="str">
        <f>IFERROR(__xludf.DUMMYFUNCTION("""COMPUTED_VALUE"""),"")</f>
        <v/>
      </c>
    </row>
    <row r="54">
      <c r="A54" s="8" t="str">
        <f>IFERROR(__xludf.DUMMYFUNCTION("""COMPUTED_VALUE"""),"BC-053")</f>
        <v>BC-053</v>
      </c>
      <c r="B54" s="8" t="str">
        <f>IFERROR(__xludf.DUMMYFUNCTION("""COMPUTED_VALUE"""),"postres")</f>
        <v>postres</v>
      </c>
      <c r="C54" s="8" t="str">
        <f>IFERROR(__xludf.DUMMYFUNCTION("""COMPUTED_VALUE"""),"MADUIXES AL PEBRE")</f>
        <v>MADUIXES AL PEBRE</v>
      </c>
      <c r="D54" s="8" t="str">
        <f>IFERROR(__xludf.DUMMYFUNCTION("""COMPUTED_VALUE"""),"")</f>
        <v/>
      </c>
      <c r="E54" s="9">
        <f>IFERROR(__xludf.DUMMYFUNCTION("""COMPUTED_VALUE"""),12.5)</f>
        <v>12.5</v>
      </c>
      <c r="F54" s="8" t="str">
        <f>IFERROR(__xludf.DUMMYFUNCTION("""COMPUTED_VALUE"""),"")</f>
        <v/>
      </c>
    </row>
    <row r="55">
      <c r="A55" s="8" t="str">
        <f>IFERROR(__xludf.DUMMYFUNCTION("""COMPUTED_VALUE"""),"BC-054")</f>
        <v>BC-054</v>
      </c>
      <c r="B55" s="8" t="str">
        <f>IFERROR(__xludf.DUMMYFUNCTION("""COMPUTED_VALUE"""),"postres")</f>
        <v>postres</v>
      </c>
      <c r="C55" s="8" t="str">
        <f>IFERROR(__xludf.DUMMYFUNCTION("""COMPUTED_VALUE"""),"CALZONE DOLÇA")</f>
        <v>CALZONE DOLÇA</v>
      </c>
      <c r="D55" s="8" t="str">
        <f>IFERROR(__xludf.DUMMYFUNCTION("""COMPUTED_VALUE"""),"")</f>
        <v/>
      </c>
      <c r="E55" s="9">
        <f>IFERROR(__xludf.DUMMYFUNCTION("""COMPUTED_VALUE"""),10.0)</f>
        <v>10</v>
      </c>
      <c r="F55" s="8" t="str">
        <f>IFERROR(__xludf.DUMMYFUNCTION("""COMPUTED_VALUE"""),"")</f>
        <v/>
      </c>
    </row>
    <row r="56">
      <c r="A56" s="8" t="str">
        <f>IFERROR(__xludf.DUMMYFUNCTION("""COMPUTED_VALUE"""),"BC-055")</f>
        <v>BC-055</v>
      </c>
      <c r="B56" s="8" t="str">
        <f>IFERROR(__xludf.DUMMYFUNCTION("""COMPUTED_VALUE"""),"postres")</f>
        <v>postres</v>
      </c>
      <c r="C56" s="8" t="str">
        <f>IFERROR(__xludf.DUMMYFUNCTION("""COMPUTED_VALUE"""),"AFFOGATO SENSE AMARETO")</f>
        <v>AFFOGATO SENSE AMARETO</v>
      </c>
      <c r="D56" s="8" t="str">
        <f>IFERROR(__xludf.DUMMYFUNCTION("""COMPUTED_VALUE"""),"")</f>
        <v/>
      </c>
      <c r="E56" s="9">
        <f>IFERROR(__xludf.DUMMYFUNCTION("""COMPUTED_VALUE"""),6.5)</f>
        <v>6.5</v>
      </c>
      <c r="F56" s="8" t="str">
        <f>IFERROR(__xludf.DUMMYFUNCTION("""COMPUTED_VALUE"""),"")</f>
        <v/>
      </c>
    </row>
    <row r="57">
      <c r="A57" s="8" t="str">
        <f>IFERROR(__xludf.DUMMYFUNCTION("""COMPUTED_VALUE"""),"BC-056")</f>
        <v>BC-056</v>
      </c>
      <c r="B57" s="8" t="str">
        <f>IFERROR(__xludf.DUMMYFUNCTION("""COMPUTED_VALUE"""),"postres")</f>
        <v>postres</v>
      </c>
      <c r="C57" s="8" t="str">
        <f>IFERROR(__xludf.DUMMYFUNCTION("""COMPUTED_VALUE"""),"AFFOGATO AMB AMARETTO")</f>
        <v>AFFOGATO AMB AMARETTO</v>
      </c>
      <c r="D57" s="8" t="str">
        <f>IFERROR(__xludf.DUMMYFUNCTION("""COMPUTED_VALUE"""),"")</f>
        <v/>
      </c>
      <c r="E57" s="9">
        <f>IFERROR(__xludf.DUMMYFUNCTION("""COMPUTED_VALUE"""),8.5)</f>
        <v>8.5</v>
      </c>
      <c r="F57" s="8" t="str">
        <f>IFERROR(__xludf.DUMMYFUNCTION("""COMPUTED_VALUE"""),"")</f>
        <v/>
      </c>
    </row>
    <row r="58">
      <c r="A58" s="8" t="str">
        <f>IFERROR(__xludf.DUMMYFUNCTION("""COMPUTED_VALUE"""),"BC-057")</f>
        <v>BC-057</v>
      </c>
      <c r="B58" s="8" t="str">
        <f>IFERROR(__xludf.DUMMYFUNCTION("""COMPUTED_VALUE"""),"cafe_te")</f>
        <v>cafe_te</v>
      </c>
      <c r="C58" s="8" t="str">
        <f>IFERROR(__xludf.DUMMYFUNCTION("""COMPUTED_VALUE"""),"CAFÈ SOL")</f>
        <v>CAFÈ SOL</v>
      </c>
      <c r="D58" s="8" t="str">
        <f>IFERROR(__xludf.DUMMYFUNCTION("""COMPUTED_VALUE"""),"")</f>
        <v/>
      </c>
      <c r="E58" s="9">
        <f>IFERROR(__xludf.DUMMYFUNCTION("""COMPUTED_VALUE"""),1.5)</f>
        <v>1.5</v>
      </c>
      <c r="F58" s="8" t="str">
        <f>IFERROR(__xludf.DUMMYFUNCTION("""COMPUTED_VALUE"""),"")</f>
        <v/>
      </c>
    </row>
    <row r="59">
      <c r="A59" s="8" t="str">
        <f>IFERROR(__xludf.DUMMYFUNCTION("""COMPUTED_VALUE"""),"BC-058")</f>
        <v>BC-058</v>
      </c>
      <c r="B59" s="8" t="str">
        <f>IFERROR(__xludf.DUMMYFUNCTION("""COMPUTED_VALUE"""),"cafe_te")</f>
        <v>cafe_te</v>
      </c>
      <c r="C59" s="8" t="str">
        <f>IFERROR(__xludf.DUMMYFUNCTION("""COMPUTED_VALUE"""),"ESPRESSO DOBLE")</f>
        <v>ESPRESSO DOBLE</v>
      </c>
      <c r="D59" s="8" t="str">
        <f>IFERROR(__xludf.DUMMYFUNCTION("""COMPUTED_VALUE"""),"")</f>
        <v/>
      </c>
      <c r="E59" s="9">
        <f>IFERROR(__xludf.DUMMYFUNCTION("""COMPUTED_VALUE"""),2.0)</f>
        <v>2</v>
      </c>
      <c r="F59" s="8" t="str">
        <f>IFERROR(__xludf.DUMMYFUNCTION("""COMPUTED_VALUE"""),"")</f>
        <v/>
      </c>
    </row>
    <row r="60">
      <c r="A60" s="8" t="str">
        <f>IFERROR(__xludf.DUMMYFUNCTION("""COMPUTED_VALUE"""),"BC-059")</f>
        <v>BC-059</v>
      </c>
      <c r="B60" s="8" t="str">
        <f>IFERROR(__xludf.DUMMYFUNCTION("""COMPUTED_VALUE"""),"cafe_te")</f>
        <v>cafe_te</v>
      </c>
      <c r="C60" s="8" t="str">
        <f>IFERROR(__xludf.DUMMYFUNCTION("""COMPUTED_VALUE"""),"CAFÈ AMB LLET")</f>
        <v>CAFÈ AMB LLET</v>
      </c>
      <c r="D60" s="8" t="str">
        <f>IFERROR(__xludf.DUMMYFUNCTION("""COMPUTED_VALUE"""),"")</f>
        <v/>
      </c>
      <c r="E60" s="9">
        <f>IFERROR(__xludf.DUMMYFUNCTION("""COMPUTED_VALUE"""),1.8)</f>
        <v>1.8</v>
      </c>
      <c r="F60" s="8" t="str">
        <f>IFERROR(__xludf.DUMMYFUNCTION("""COMPUTED_VALUE"""),"")</f>
        <v/>
      </c>
    </row>
    <row r="61">
      <c r="A61" s="8" t="str">
        <f>IFERROR(__xludf.DUMMYFUNCTION("""COMPUTED_VALUE"""),"BC-060")</f>
        <v>BC-060</v>
      </c>
      <c r="B61" s="8" t="str">
        <f>IFERROR(__xludf.DUMMYFUNCTION("""COMPUTED_VALUE"""),"cafe_te")</f>
        <v>cafe_te</v>
      </c>
      <c r="C61" s="8" t="str">
        <f>IFERROR(__xludf.DUMMYFUNCTION("""COMPUTED_VALUE"""),"AMERICÀ / TALLAT")</f>
        <v>AMERICÀ / TALLAT</v>
      </c>
      <c r="D61" s="8" t="str">
        <f>IFERROR(__xludf.DUMMYFUNCTION("""COMPUTED_VALUE"""),"")</f>
        <v/>
      </c>
      <c r="E61" s="9">
        <f>IFERROR(__xludf.DUMMYFUNCTION("""COMPUTED_VALUE"""),2.0)</f>
        <v>2</v>
      </c>
      <c r="F61" s="8" t="str">
        <f>IFERROR(__xludf.DUMMYFUNCTION("""COMPUTED_VALUE"""),"")</f>
        <v/>
      </c>
    </row>
    <row r="62">
      <c r="A62" s="8" t="str">
        <f>IFERROR(__xludf.DUMMYFUNCTION("""COMPUTED_VALUE"""),"BC-061")</f>
        <v>BC-061</v>
      </c>
      <c r="B62" s="8" t="str">
        <f>IFERROR(__xludf.DUMMYFUNCTION("""COMPUTED_VALUE"""),"cafe_te")</f>
        <v>cafe_te</v>
      </c>
      <c r="C62" s="8" t="str">
        <f>IFERROR(__xludf.DUMMYFUNCTION("""COMPUTED_VALUE"""),"CAPPUCCINO")</f>
        <v>CAPPUCCINO</v>
      </c>
      <c r="D62" s="8" t="str">
        <f>IFERROR(__xludf.DUMMYFUNCTION("""COMPUTED_VALUE"""),"")</f>
        <v/>
      </c>
      <c r="E62" s="9">
        <f>IFERROR(__xludf.DUMMYFUNCTION("""COMPUTED_VALUE"""),2.2)</f>
        <v>2.2</v>
      </c>
      <c r="F62" s="8" t="str">
        <f>IFERROR(__xludf.DUMMYFUNCTION("""COMPUTED_VALUE"""),"")</f>
        <v/>
      </c>
    </row>
    <row r="63">
      <c r="A63" s="8" t="str">
        <f>IFERROR(__xludf.DUMMYFUNCTION("""COMPUTED_VALUE"""),"BC-062")</f>
        <v>BC-062</v>
      </c>
      <c r="B63" s="8" t="str">
        <f>IFERROR(__xludf.DUMMYFUNCTION("""COMPUTED_VALUE"""),"cafe_te")</f>
        <v>cafe_te</v>
      </c>
      <c r="C63" s="8" t="str">
        <f>IFERROR(__xludf.DUMMYFUNCTION("""COMPUTED_VALUE"""),"AMERICÀ AMB GEL")</f>
        <v>AMERICÀ AMB GEL</v>
      </c>
      <c r="D63" s="8" t="str">
        <f>IFERROR(__xludf.DUMMYFUNCTION("""COMPUTED_VALUE"""),"")</f>
        <v/>
      </c>
      <c r="E63" s="9">
        <f>IFERROR(__xludf.DUMMYFUNCTION("""COMPUTED_VALUE"""),2.25)</f>
        <v>2.25</v>
      </c>
      <c r="F63" s="8" t="str">
        <f>IFERROR(__xludf.DUMMYFUNCTION("""COMPUTED_VALUE"""),"")</f>
        <v/>
      </c>
    </row>
    <row r="64">
      <c r="A64" s="8" t="str">
        <f>IFERROR(__xludf.DUMMYFUNCTION("""COMPUTED_VALUE"""),"BC-063")</f>
        <v>BC-063</v>
      </c>
      <c r="B64" s="8" t="str">
        <f>IFERROR(__xludf.DUMMYFUNCTION("""COMPUTED_VALUE"""),"cafe_te")</f>
        <v>cafe_te</v>
      </c>
      <c r="C64" s="8" t="str">
        <f>IFERROR(__xludf.DUMMYFUNCTION("""COMPUTED_VALUE"""),"CIGALÓ")</f>
        <v>CIGALÓ</v>
      </c>
      <c r="D64" s="8" t="str">
        <f>IFERROR(__xludf.DUMMYFUNCTION("""COMPUTED_VALUE"""),"")</f>
        <v/>
      </c>
      <c r="E64" s="9">
        <f>IFERROR(__xludf.DUMMYFUNCTION("""COMPUTED_VALUE"""),3.0)</f>
        <v>3</v>
      </c>
      <c r="F64" s="8" t="str">
        <f>IFERROR(__xludf.DUMMYFUNCTION("""COMPUTED_VALUE"""),"")</f>
        <v/>
      </c>
    </row>
    <row r="65">
      <c r="A65" s="8" t="str">
        <f>IFERROR(__xludf.DUMMYFUNCTION("""COMPUTED_VALUE"""),"BC-064")</f>
        <v>BC-064</v>
      </c>
      <c r="B65" s="8" t="str">
        <f>IFERROR(__xludf.DUMMYFUNCTION("""COMPUTED_VALUE"""),"cafe_te")</f>
        <v>cafe_te</v>
      </c>
      <c r="C65" s="8" t="str">
        <f>IFERROR(__xludf.DUMMYFUNCTION("""COMPUTED_VALUE"""),"TRIFÀSIC")</f>
        <v>TRIFÀSIC</v>
      </c>
      <c r="D65" s="8" t="str">
        <f>IFERROR(__xludf.DUMMYFUNCTION("""COMPUTED_VALUE"""),"")</f>
        <v/>
      </c>
      <c r="E65" s="9">
        <f>IFERROR(__xludf.DUMMYFUNCTION("""COMPUTED_VALUE"""),3.0)</f>
        <v>3</v>
      </c>
      <c r="F65" s="8" t="str">
        <f>IFERROR(__xludf.DUMMYFUNCTION("""COMPUTED_VALUE"""),"")</f>
        <v/>
      </c>
    </row>
    <row r="66">
      <c r="A66" s="8" t="str">
        <f>IFERROR(__xludf.DUMMYFUNCTION("""COMPUTED_VALUE"""),"BC-065")</f>
        <v>BC-065</v>
      </c>
      <c r="B66" s="8" t="str">
        <f>IFERROR(__xludf.DUMMYFUNCTION("""COMPUTED_VALUE"""),"cafe_te")</f>
        <v>cafe_te</v>
      </c>
      <c r="C66" s="8" t="str">
        <f>IFERROR(__xludf.DUMMYFUNCTION("""COMPUTED_VALUE"""),"CAFÈ IRLANDÈS")</f>
        <v>CAFÈ IRLANDÈS</v>
      </c>
      <c r="D66" s="8" t="str">
        <f>IFERROR(__xludf.DUMMYFUNCTION("""COMPUTED_VALUE"""),"")</f>
        <v/>
      </c>
      <c r="E66" s="9">
        <f>IFERROR(__xludf.DUMMYFUNCTION("""COMPUTED_VALUE"""),7.0)</f>
        <v>7</v>
      </c>
      <c r="F66" s="8" t="str">
        <f>IFERROR(__xludf.DUMMYFUNCTION("""COMPUTED_VALUE"""),"")</f>
        <v/>
      </c>
    </row>
    <row r="67">
      <c r="A67" s="8" t="str">
        <f>IFERROR(__xludf.DUMMYFUNCTION("""COMPUTED_VALUE"""),"BC-066")</f>
        <v>BC-066</v>
      </c>
      <c r="B67" s="8" t="str">
        <f>IFERROR(__xludf.DUMMYFUNCTION("""COMPUTED_VALUE"""),"cafe_te")</f>
        <v>cafe_te</v>
      </c>
      <c r="C67" s="8" t="str">
        <f>IFERROR(__xludf.DUMMYFUNCTION("""COMPUTED_VALUE"""),"INFUSIONS DAMMANN")</f>
        <v>INFUSIONS DAMMANN</v>
      </c>
      <c r="D67" s="8" t="str">
        <f>IFERROR(__xludf.DUMMYFUNCTION("""COMPUTED_VALUE"""),"Te negre / te verd / camamilla")</f>
        <v>Te negre / te verd / camamilla</v>
      </c>
      <c r="E67" s="9">
        <f>IFERROR(__xludf.DUMMYFUNCTION("""COMPUTED_VALUE"""),2.0)</f>
        <v>2</v>
      </c>
      <c r="F67" s="8" t="str">
        <f>IFERROR(__xludf.DUMMYFUNCTION("""COMPUTED_VALUE"""),"")</f>
        <v/>
      </c>
    </row>
    <row r="68">
      <c r="A68" s="8" t="str">
        <f>IFERROR(__xludf.DUMMYFUNCTION("""COMPUTED_VALUE"""),"BC-067")</f>
        <v>BC-067</v>
      </c>
      <c r="B68" s="8" t="str">
        <f>IFERROR(__xludf.DUMMYFUNCTION("""COMPUTED_VALUE"""),"begudes")</f>
        <v>begudes</v>
      </c>
      <c r="C68" s="8" t="str">
        <f>IFERROR(__xludf.DUMMYFUNCTION("""COMPUTED_VALUE"""),"REFRESCOS")</f>
        <v>REFRESCOS</v>
      </c>
      <c r="D68" s="8" t="str">
        <f>IFERROR(__xludf.DUMMYFUNCTION("""COMPUTED_VALUE"""),"Coca-Cola / Fanta / Cola Zero / Nestea / Aquarius")</f>
        <v>Coca-Cola / Fanta / Cola Zero / Nestea / Aquarius</v>
      </c>
      <c r="E68" s="9">
        <f>IFERROR(__xludf.DUMMYFUNCTION("""COMPUTED_VALUE"""),3.0)</f>
        <v>3</v>
      </c>
      <c r="F68" s="8" t="str">
        <f>IFERROR(__xludf.DUMMYFUNCTION("""COMPUTED_VALUE"""),"")</f>
        <v/>
      </c>
    </row>
    <row r="69">
      <c r="A69" s="8" t="str">
        <f>IFERROR(__xludf.DUMMYFUNCTION("""COMPUTED_VALUE"""),"BC-068")</f>
        <v>BC-068</v>
      </c>
      <c r="B69" s="8" t="str">
        <f>IFERROR(__xludf.DUMMYFUNCTION("""COMPUTED_VALUE"""),"begudes")</f>
        <v>begudes</v>
      </c>
      <c r="C69" s="8" t="str">
        <f>IFERROR(__xludf.DUMMYFUNCTION("""COMPUTED_VALUE"""),"TÒNICA")</f>
        <v>TÒNICA</v>
      </c>
      <c r="D69" s="8" t="str">
        <f>IFERROR(__xludf.DUMMYFUNCTION("""COMPUTED_VALUE"""),"")</f>
        <v/>
      </c>
      <c r="E69" s="9">
        <f>IFERROR(__xludf.DUMMYFUNCTION("""COMPUTED_VALUE"""),2.5)</f>
        <v>2.5</v>
      </c>
      <c r="F69" s="8" t="str">
        <f>IFERROR(__xludf.DUMMYFUNCTION("""COMPUTED_VALUE"""),"")</f>
        <v/>
      </c>
    </row>
    <row r="70">
      <c r="A70" s="8" t="str">
        <f>IFERROR(__xludf.DUMMYFUNCTION("""COMPUTED_VALUE"""),"BC-069")</f>
        <v>BC-069</v>
      </c>
      <c r="B70" s="8" t="str">
        <f>IFERROR(__xludf.DUMMYFUNCTION("""COMPUTED_VALUE"""),"begudes")</f>
        <v>begudes</v>
      </c>
      <c r="C70" s="8" t="str">
        <f>IFERROR(__xludf.DUMMYFUNCTION("""COMPUTED_VALUE"""),"BITTER KAS")</f>
        <v>BITTER KAS</v>
      </c>
      <c r="D70" s="8" t="str">
        <f>IFERROR(__xludf.DUMMYFUNCTION("""COMPUTED_VALUE"""),"")</f>
        <v/>
      </c>
      <c r="E70" s="9">
        <f>IFERROR(__xludf.DUMMYFUNCTION("""COMPUTED_VALUE"""),2.5)</f>
        <v>2.5</v>
      </c>
      <c r="F70" s="8" t="str">
        <f>IFERROR(__xludf.DUMMYFUNCTION("""COMPUTED_VALUE"""),"")</f>
        <v/>
      </c>
    </row>
    <row r="71">
      <c r="A71" s="8" t="str">
        <f>IFERROR(__xludf.DUMMYFUNCTION("""COMPUTED_VALUE"""),"BC-070")</f>
        <v>BC-070</v>
      </c>
      <c r="B71" s="8" t="str">
        <f>IFERROR(__xludf.DUMMYFUNCTION("""COMPUTED_VALUE"""),"begudes")</f>
        <v>begudes</v>
      </c>
      <c r="C71" s="8" t="str">
        <f>IFERROR(__xludf.DUMMYFUNCTION("""COMPUTED_VALUE"""),"SOLAN DE CABRAS")</f>
        <v>SOLAN DE CABRAS</v>
      </c>
      <c r="D71" s="8" t="str">
        <f>IFERROR(__xludf.DUMMYFUNCTION("""COMPUTED_VALUE"""),"")</f>
        <v/>
      </c>
      <c r="E71" s="9">
        <f>IFERROR(__xludf.DUMMYFUNCTION("""COMPUTED_VALUE"""),2.5)</f>
        <v>2.5</v>
      </c>
      <c r="F71" s="8" t="str">
        <f>IFERROR(__xludf.DUMMYFUNCTION("""COMPUTED_VALUE"""),"")</f>
        <v/>
      </c>
    </row>
    <row r="72">
      <c r="A72" s="8" t="str">
        <f>IFERROR(__xludf.DUMMYFUNCTION("""COMPUTED_VALUE"""),"BC-071")</f>
        <v>BC-071</v>
      </c>
      <c r="B72" s="8" t="str">
        <f>IFERROR(__xludf.DUMMYFUNCTION("""COMPUTED_VALUE"""),"begudes")</f>
        <v>begudes</v>
      </c>
      <c r="C72" s="8" t="str">
        <f>IFERROR(__xludf.DUMMYFUNCTION("""COMPUTED_VALUE"""),"VICHY CATALAN")</f>
        <v>VICHY CATALAN</v>
      </c>
      <c r="D72" s="8" t="str">
        <f>IFERROR(__xludf.DUMMYFUNCTION("""COMPUTED_VALUE"""),"")</f>
        <v/>
      </c>
      <c r="E72" s="9">
        <f>IFERROR(__xludf.DUMMYFUNCTION("""COMPUTED_VALUE"""),2.5)</f>
        <v>2.5</v>
      </c>
      <c r="F72" s="8" t="str">
        <f>IFERROR(__xludf.DUMMYFUNCTION("""COMPUTED_VALUE"""),"")</f>
        <v/>
      </c>
    </row>
    <row r="73">
      <c r="A73" s="8" t="str">
        <f>IFERROR(__xludf.DUMMYFUNCTION("""COMPUTED_VALUE"""),"BC-072")</f>
        <v>BC-072</v>
      </c>
      <c r="B73" s="8" t="str">
        <f>IFERROR(__xludf.DUMMYFUNCTION("""COMPUTED_VALUE"""),"begudes")</f>
        <v>begudes</v>
      </c>
      <c r="C73" s="8" t="str">
        <f>IFERROR(__xludf.DUMMYFUNCTION("""COMPUTED_VALUE"""),"AIGUA S. PELLEGRINO")</f>
        <v>AIGUA S. PELLEGRINO</v>
      </c>
      <c r="D73" s="8" t="str">
        <f>IFERROR(__xludf.DUMMYFUNCTION("""COMPUTED_VALUE"""),"")</f>
        <v/>
      </c>
      <c r="E73" s="9">
        <f>IFERROR(__xludf.DUMMYFUNCTION("""COMPUTED_VALUE"""),4.0)</f>
        <v>4</v>
      </c>
      <c r="F73" s="8" t="str">
        <f>IFERROR(__xludf.DUMMYFUNCTION("""COMPUTED_VALUE"""),"")</f>
        <v/>
      </c>
    </row>
    <row r="74">
      <c r="A74" s="8" t="str">
        <f>IFERROR(__xludf.DUMMYFUNCTION("""COMPUTED_VALUE"""),"BC-073")</f>
        <v>BC-073</v>
      </c>
      <c r="B74" s="8" t="str">
        <f>IFERROR(__xludf.DUMMYFUNCTION("""COMPUTED_VALUE"""),"alcohol")</f>
        <v>alcohol</v>
      </c>
      <c r="C74" s="8" t="str">
        <f>IFERROR(__xludf.DUMMYFUNCTION("""COMPUTED_VALUE"""),"XOPET")</f>
        <v>XOPET</v>
      </c>
      <c r="D74" s="8" t="str">
        <f>IFERROR(__xludf.DUMMYFUNCTION("""COMPUTED_VALUE"""),"Herbes / limoncello")</f>
        <v>Herbes / limoncello</v>
      </c>
      <c r="E74" s="9">
        <f>IFERROR(__xludf.DUMMYFUNCTION("""COMPUTED_VALUE"""),2.0)</f>
        <v>2</v>
      </c>
      <c r="F74" s="8" t="str">
        <f>IFERROR(__xludf.DUMMYFUNCTION("""COMPUTED_VALUE"""),"")</f>
        <v/>
      </c>
    </row>
    <row r="75">
      <c r="A75" s="8" t="str">
        <f>IFERROR(__xludf.DUMMYFUNCTION("""COMPUTED_VALUE"""),"BC-074")</f>
        <v>BC-074</v>
      </c>
      <c r="B75" s="8" t="str">
        <f>IFERROR(__xludf.DUMMYFUNCTION("""COMPUTED_VALUE"""),"alcohol")</f>
        <v>alcohol</v>
      </c>
      <c r="C75" s="8" t="str">
        <f>IFERROR(__xludf.DUMMYFUNCTION("""COMPUTED_VALUE"""),"MARTINI / VERMUT")</f>
        <v>MARTINI / VERMUT</v>
      </c>
      <c r="D75" s="8" t="str">
        <f>IFERROR(__xludf.DUMMYFUNCTION("""COMPUTED_VALUE"""),"Blanc / rosso")</f>
        <v>Blanc / rosso</v>
      </c>
      <c r="E75" s="9">
        <f>IFERROR(__xludf.DUMMYFUNCTION("""COMPUTED_VALUE"""),4.5)</f>
        <v>4.5</v>
      </c>
      <c r="F75" s="8" t="str">
        <f>IFERROR(__xludf.DUMMYFUNCTION("""COMPUTED_VALUE"""),"")</f>
        <v/>
      </c>
    </row>
    <row r="76">
      <c r="A76" s="8" t="str">
        <f>IFERROR(__xludf.DUMMYFUNCTION("""COMPUTED_VALUE"""),"BC-075")</f>
        <v>BC-075</v>
      </c>
      <c r="B76" s="8" t="str">
        <f>IFERROR(__xludf.DUMMYFUNCTION("""COMPUTED_VALUE"""),"alcohol")</f>
        <v>alcohol</v>
      </c>
      <c r="C76" s="8" t="str">
        <f>IFERROR(__xludf.DUMMYFUNCTION("""COMPUTED_VALUE"""),"BAILEYS")</f>
        <v>BAILEYS</v>
      </c>
      <c r="D76" s="8" t="str">
        <f>IFERROR(__xludf.DUMMYFUNCTION("""COMPUTED_VALUE"""),"")</f>
        <v/>
      </c>
      <c r="E76" s="9">
        <f>IFERROR(__xludf.DUMMYFUNCTION("""COMPUTED_VALUE"""),5.25)</f>
        <v>5.25</v>
      </c>
      <c r="F76" s="8" t="str">
        <f>IFERROR(__xludf.DUMMYFUNCTION("""COMPUTED_VALUE"""),"")</f>
        <v/>
      </c>
    </row>
    <row r="77">
      <c r="A77" s="8" t="str">
        <f>IFERROR(__xludf.DUMMYFUNCTION("""COMPUTED_VALUE"""),"BC-076")</f>
        <v>BC-076</v>
      </c>
      <c r="B77" s="8" t="str">
        <f>IFERROR(__xludf.DUMMYFUNCTION("""COMPUTED_VALUE"""),"alcohol")</f>
        <v>alcohol</v>
      </c>
      <c r="C77" s="8" t="str">
        <f>IFERROR(__xludf.DUMMYFUNCTION("""COMPUTED_VALUE"""),"ROM")</f>
        <v>ROM</v>
      </c>
      <c r="D77" s="8" t="str">
        <f>IFERROR(__xludf.DUMMYFUNCTION("""COMPUTED_VALUE"""),"")</f>
        <v/>
      </c>
      <c r="E77" s="9">
        <f>IFERROR(__xludf.DUMMYFUNCTION("""COMPUTED_VALUE"""),5.0)</f>
        <v>5</v>
      </c>
      <c r="F77" s="8" t="str">
        <f>IFERROR(__xludf.DUMMYFUNCTION("""COMPUTED_VALUE"""),"")</f>
        <v/>
      </c>
    </row>
    <row r="78">
      <c r="A78" s="8" t="str">
        <f>IFERROR(__xludf.DUMMYFUNCTION("""COMPUTED_VALUE"""),"BC-077")</f>
        <v>BC-077</v>
      </c>
      <c r="B78" s="8" t="str">
        <f>IFERROR(__xludf.DUMMYFUNCTION("""COMPUTED_VALUE"""),"alcohol")</f>
        <v>alcohol</v>
      </c>
      <c r="C78" s="8" t="str">
        <f>IFERROR(__xludf.DUMMYFUNCTION("""COMPUTED_VALUE"""),"WHISKY")</f>
        <v>WHISKY</v>
      </c>
      <c r="D78" s="8" t="str">
        <f>IFERROR(__xludf.DUMMYFUNCTION("""COMPUTED_VALUE"""),"J&amp;B / Jameson / Jack Daniel’s")</f>
        <v>J&amp;B / Jameson / Jack Daniel’s</v>
      </c>
      <c r="E78" s="9">
        <f>IFERROR(__xludf.DUMMYFUNCTION("""COMPUTED_VALUE"""),0.0)</f>
        <v>0</v>
      </c>
      <c r="F78" s="8" t="str">
        <f>IFERROR(__xludf.DUMMYFUNCTION("""COMPUTED_VALUE"""),"")</f>
        <v/>
      </c>
    </row>
    <row r="79">
      <c r="A79" s="8" t="str">
        <f>IFERROR(__xludf.DUMMYFUNCTION("""COMPUTED_VALUE"""),"BC-078")</f>
        <v>BC-078</v>
      </c>
      <c r="B79" s="8" t="str">
        <f>IFERROR(__xludf.DUMMYFUNCTION("""COMPUTED_VALUE"""),"alcohol")</f>
        <v>alcohol</v>
      </c>
      <c r="C79" s="8" t="str">
        <f>IFERROR(__xludf.DUMMYFUNCTION("""COMPUTED_VALUE"""),"CAMPARI")</f>
        <v>CAMPARI</v>
      </c>
      <c r="D79" s="8" t="str">
        <f>IFERROR(__xludf.DUMMYFUNCTION("""COMPUTED_VALUE"""),"")</f>
        <v/>
      </c>
      <c r="E79" s="9">
        <f>IFERROR(__xludf.DUMMYFUNCTION("""COMPUTED_VALUE"""),5.0)</f>
        <v>5</v>
      </c>
      <c r="F79" s="8" t="str">
        <f>IFERROR(__xludf.DUMMYFUNCTION("""COMPUTED_VALUE"""),"")</f>
        <v/>
      </c>
    </row>
    <row r="80">
      <c r="A80" s="8" t="str">
        <f>IFERROR(__xludf.DUMMYFUNCTION("""COMPUTED_VALUE"""),"BC-079")</f>
        <v>BC-079</v>
      </c>
      <c r="B80" s="8" t="str">
        <f>IFERROR(__xludf.DUMMYFUNCTION("""COMPUTED_VALUE"""),"alcohol")</f>
        <v>alcohol</v>
      </c>
      <c r="C80" s="8" t="str">
        <f>IFERROR(__xludf.DUMMYFUNCTION("""COMPUTED_VALUE"""),"CARAMOL")</f>
        <v>CARAMOL</v>
      </c>
      <c r="D80" s="8" t="str">
        <f>IFERROR(__xludf.DUMMYFUNCTION("""COMPUTED_VALUE"""),"")</f>
        <v/>
      </c>
      <c r="E80" s="9">
        <f>IFERROR(__xludf.DUMMYFUNCTION("""COMPUTED_VALUE"""),5.25)</f>
        <v>5.25</v>
      </c>
      <c r="F80" s="8" t="str">
        <f>IFERROR(__xludf.DUMMYFUNCTION("""COMPUTED_VALUE"""),"")</f>
        <v/>
      </c>
    </row>
    <row r="81">
      <c r="A81" s="8" t="str">
        <f>IFERROR(__xludf.DUMMYFUNCTION("""COMPUTED_VALUE"""),"BC-080")</f>
        <v>BC-080</v>
      </c>
      <c r="B81" s="8" t="str">
        <f>IFERROR(__xludf.DUMMYFUNCTION("""COMPUTED_VALUE"""),"alcohol")</f>
        <v>alcohol</v>
      </c>
      <c r="C81" s="8" t="str">
        <f>IFERROR(__xludf.DUMMYFUNCTION("""COMPUTED_VALUE"""),"VODKA")</f>
        <v>VODKA</v>
      </c>
      <c r="D81" s="8" t="str">
        <f>IFERROR(__xludf.DUMMYFUNCTION("""COMPUTED_VALUE"""),"Absolut / Grey Goose")</f>
        <v>Absolut / Grey Goose</v>
      </c>
      <c r="E81" s="9">
        <f>IFERROR(__xludf.DUMMYFUNCTION("""COMPUTED_VALUE"""),0.0)</f>
        <v>0</v>
      </c>
      <c r="F81" s="8" t="str">
        <f>IFERROR(__xludf.DUMMYFUNCTION("""COMPUTED_VALUE"""),"")</f>
        <v/>
      </c>
    </row>
    <row r="82">
      <c r="A82" s="8" t="str">
        <f>IFERROR(__xludf.DUMMYFUNCTION("""COMPUTED_VALUE"""),"BC-081")</f>
        <v>BC-081</v>
      </c>
      <c r="B82" s="8" t="str">
        <f>IFERROR(__xludf.DUMMYFUNCTION("""COMPUTED_VALUE"""),"coctels")</f>
        <v>coctels</v>
      </c>
      <c r="C82" s="8" t="str">
        <f>IFERROR(__xludf.DUMMYFUNCTION("""COMPUTED_VALUE"""),"KIRSCH BELLA CIAO")</f>
        <v>KIRSCH BELLA CIAO</v>
      </c>
      <c r="D82" s="8" t="str">
        <f>IFERROR(__xludf.DUMMYFUNCTION("""COMPUTED_VALUE"""),"Caramol / cava")</f>
        <v>Caramol / cava</v>
      </c>
      <c r="E82" s="9">
        <f>IFERROR(__xludf.DUMMYFUNCTION("""COMPUTED_VALUE"""),6.0)</f>
        <v>6</v>
      </c>
      <c r="F82" s="8" t="str">
        <f>IFERROR(__xludf.DUMMYFUNCTION("""COMPUTED_VALUE"""),"")</f>
        <v/>
      </c>
    </row>
    <row r="83">
      <c r="A83" s="8" t="str">
        <f>IFERROR(__xludf.DUMMYFUNCTION("""COMPUTED_VALUE"""),"BC-082")</f>
        <v>BC-082</v>
      </c>
      <c r="B83" s="8" t="str">
        <f>IFERROR(__xludf.DUMMYFUNCTION("""COMPUTED_VALUE"""),"coctels")</f>
        <v>coctels</v>
      </c>
      <c r="C83" s="8" t="str">
        <f>IFERROR(__xludf.DUMMYFUNCTION("""COMPUTED_VALUE"""),"CUBATA")</f>
        <v>CUBATA</v>
      </c>
      <c r="D83" s="8" t="str">
        <f>IFERROR(__xludf.DUMMYFUNCTION("""COMPUTED_VALUE"""),"Alcohol / refresc")</f>
        <v>Alcohol / refresc</v>
      </c>
      <c r="E83" s="9">
        <f>IFERROR(__xludf.DUMMYFUNCTION("""COMPUTED_VALUE"""),7.0)</f>
        <v>7</v>
      </c>
      <c r="F83" s="8" t="str">
        <f>IFERROR(__xludf.DUMMYFUNCTION("""COMPUTED_VALUE"""),"")</f>
        <v/>
      </c>
    </row>
    <row r="84">
      <c r="A84" s="8" t="str">
        <f>IFERROR(__xludf.DUMMYFUNCTION("""COMPUTED_VALUE"""),"BC-083")</f>
        <v>BC-083</v>
      </c>
      <c r="B84" s="8" t="str">
        <f>IFERROR(__xludf.DUMMYFUNCTION("""COMPUTED_VALUE"""),"coctels")</f>
        <v>coctels</v>
      </c>
      <c r="C84" s="8" t="str">
        <f>IFERROR(__xludf.DUMMYFUNCTION("""COMPUTED_VALUE"""),"APEROL SPRITZ")</f>
        <v>APEROL SPRITZ</v>
      </c>
      <c r="D84" s="8" t="str">
        <f>IFERROR(__xludf.DUMMYFUNCTION("""COMPUTED_VALUE"""),"Aperol / cava / aigua amb gas")</f>
        <v>Aperol / cava / aigua amb gas</v>
      </c>
      <c r="E84" s="9">
        <f>IFERROR(__xludf.DUMMYFUNCTION("""COMPUTED_VALUE"""),9.0)</f>
        <v>9</v>
      </c>
      <c r="F84" s="8" t="str">
        <f>IFERROR(__xludf.DUMMYFUNCTION("""COMPUTED_VALUE"""),"")</f>
        <v/>
      </c>
    </row>
    <row r="85">
      <c r="A85" s="8" t="str">
        <f>IFERROR(__xludf.DUMMYFUNCTION("""COMPUTED_VALUE"""),"BC-084")</f>
        <v>BC-084</v>
      </c>
      <c r="B85" s="8" t="str">
        <f>IFERROR(__xludf.DUMMYFUNCTION("""COMPUTED_VALUE"""),"coctels")</f>
        <v>coctels</v>
      </c>
      <c r="C85" s="8" t="str">
        <f>IFERROR(__xludf.DUMMYFUNCTION("""COMPUTED_VALUE"""),"GIN-TÒNIC")</f>
        <v>GIN-TÒNIC</v>
      </c>
      <c r="D85" s="8" t="str">
        <f>IFERROR(__xludf.DUMMYFUNCTION("""COMPUTED_VALUE"""),"Hendrick’s / Floraison / Bombay Sapphire")</f>
        <v>Hendrick’s / Floraison / Bombay Sapphire</v>
      </c>
      <c r="E85" s="9">
        <f>IFERROR(__xludf.DUMMYFUNCTION("""COMPUTED_VALUE"""),0.0)</f>
        <v>0</v>
      </c>
      <c r="F85" s="8" t="str">
        <f>IFERROR(__xludf.DUMMYFUNCTION("""COMPUTED_VALUE"""),"")</f>
        <v/>
      </c>
    </row>
    <row r="86">
      <c r="A86" s="8" t="str">
        <f>IFERROR(__xludf.DUMMYFUNCTION("""COMPUTED_VALUE"""),"BC-085")</f>
        <v>BC-085</v>
      </c>
      <c r="B86" s="8" t="str">
        <f>IFERROR(__xludf.DUMMYFUNCTION("""COMPUTED_VALUE"""),"cerveses")</f>
        <v>cerveses</v>
      </c>
      <c r="C86" s="8" t="str">
        <f>IFERROR(__xludf.DUMMYFUNCTION("""COMPUTED_VALUE"""),"LAGER ESTRELLA ANDORRA")</f>
        <v>LAGER ESTRELLA ANDORRA</v>
      </c>
      <c r="D86" s="8" t="str">
        <f>IFERROR(__xludf.DUMMYFUNCTION("""COMPUTED_VALUE"""),"Cervesa clara i refrescant, de malta suau i final net. Alc. 4,5 %.")</f>
        <v>Cervesa clara i refrescant, de malta suau i final net. Alc. 4,5 %.</v>
      </c>
      <c r="E86" s="9">
        <f>IFERROR(__xludf.DUMMYFUNCTION("""COMPUTED_VALUE"""),3.6)</f>
        <v>3.6</v>
      </c>
      <c r="F86" s="8" t="str">
        <f>IFERROR(__xludf.DUMMYFUNCTION("""COMPUTED_VALUE"""),"")</f>
        <v/>
      </c>
    </row>
    <row r="87">
      <c r="A87" s="8" t="str">
        <f>IFERROR(__xludf.DUMMYFUNCTION("""COMPUTED_VALUE"""),"BC-086")</f>
        <v>BC-086</v>
      </c>
      <c r="B87" s="8" t="str">
        <f>IFERROR(__xludf.DUMMYFUNCTION("""COMPUTED_VALUE"""),"cerveses")</f>
        <v>cerveses</v>
      </c>
      <c r="C87" s="8" t="str">
        <f>IFERROR(__xludf.DUMMYFUNCTION("""COMPUTED_VALUE"""),"TORRADA ANDBEER")</f>
        <v>TORRADA ANDBEER</v>
      </c>
      <c r="D87" s="8" t="str">
        <f>IFERROR(__xludf.DUMMYFUNCTION("""COMPUTED_VALUE"""),"Cos ple, malta torrada amb aromes de pa negre i lleugers tocs de cafè. Alc. 6,3 %.")</f>
        <v>Cos ple, malta torrada amb aromes de pa negre i lleugers tocs de cafè. Alc. 6,3 %.</v>
      </c>
      <c r="E87" s="9">
        <f>IFERROR(__xludf.DUMMYFUNCTION("""COMPUTED_VALUE"""),3.6)</f>
        <v>3.6</v>
      </c>
      <c r="F87" s="8" t="str">
        <f>IFERROR(__xludf.DUMMYFUNCTION("""COMPUTED_VALUE"""),"")</f>
        <v/>
      </c>
    </row>
    <row r="88">
      <c r="A88" s="8" t="str">
        <f>IFERROR(__xludf.DUMMYFUNCTION("""COMPUTED_VALUE"""),"BC-087")</f>
        <v>BC-087</v>
      </c>
      <c r="B88" s="8" t="str">
        <f>IFERROR(__xludf.DUMMYFUNCTION("""COMPUTED_VALUE"""),"cerveses")</f>
        <v>cerveses</v>
      </c>
      <c r="C88" s="8" t="str">
        <f>IFERROR(__xludf.DUMMYFUNCTION("""COMPUTED_VALUE"""),"AMBER ALE ANDBEER")</f>
        <v>AMBER ALE ANDBEER</v>
      </c>
      <c r="D88" s="8" t="str">
        <f>IFERROR(__xludf.DUMMYFUNCTION("""COMPUTED_VALUE"""),"Color coure, amb notes de caramel i malta torrada, equilibrada amb el llúpol. Alc. 6,3 %.")</f>
        <v>Color coure, amb notes de caramel i malta torrada, equilibrada amb el llúpol. Alc. 6,3 %.</v>
      </c>
      <c r="E88" s="9">
        <f>IFERROR(__xludf.DUMMYFUNCTION("""COMPUTED_VALUE"""),3.6)</f>
        <v>3.6</v>
      </c>
      <c r="F88" s="8" t="str">
        <f>IFERROR(__xludf.DUMMYFUNCTION("""COMPUTED_VALUE"""),"")</f>
        <v/>
      </c>
    </row>
    <row r="89">
      <c r="A89" s="8" t="str">
        <f>IFERROR(__xludf.DUMMYFUNCTION("""COMPUTED_VALUE"""),"BC-088")</f>
        <v>BC-088</v>
      </c>
      <c r="B89" s="8" t="str">
        <f>IFERROR(__xludf.DUMMYFUNCTION("""COMPUTED_VALUE"""),"cerveses")</f>
        <v>cerveses</v>
      </c>
      <c r="C89" s="8" t="str">
        <f>IFERROR(__xludf.DUMMYFUNCTION("""COMPUTED_VALUE"""),"IPA DE MUNTANYA ANDBEER")</f>
        <v>IPA DE MUNTANYA ANDBEER</v>
      </c>
      <c r="D89" s="8" t="str">
        <f>IFERROR(__xludf.DUMMYFUNCTION("""COMPUTED_VALUE"""),"IPA aromàtica amb notes de pi i fruita tropical, cos mitjà i final amarg. Alc. 7,1 %.")</f>
        <v>IPA aromàtica amb notes de pi i fruita tropical, cos mitjà i final amarg. Alc. 7,1 %.</v>
      </c>
      <c r="E89" s="9">
        <f>IFERROR(__xludf.DUMMYFUNCTION("""COMPUTED_VALUE"""),4.0)</f>
        <v>4</v>
      </c>
      <c r="F89" s="8" t="str">
        <f>IFERROR(__xludf.DUMMYFUNCTION("""COMPUTED_VALUE"""),"")</f>
        <v/>
      </c>
    </row>
    <row r="90">
      <c r="A90" s="8" t="str">
        <f>IFERROR(__xludf.DUMMYFUNCTION("""COMPUTED_VALUE"""),"BC-089")</f>
        <v>BC-089</v>
      </c>
      <c r="B90" s="8" t="str">
        <f>IFERROR(__xludf.DUMMYFUNCTION("""COMPUTED_VALUE"""),"cerveses")</f>
        <v>cerveses</v>
      </c>
      <c r="C90" s="8" t="str">
        <f>IFERROR(__xludf.DUMMYFUNCTION("""COMPUTED_VALUE"""),"CANYA")</f>
        <v>CANYA</v>
      </c>
      <c r="D90" s="8" t="str">
        <f>IFERROR(__xludf.DUMMYFUNCTION("""COMPUTED_VALUE"""),"0,33 l")</f>
        <v>0,33 l</v>
      </c>
      <c r="E90" s="9">
        <f>IFERROR(__xludf.DUMMYFUNCTION("""COMPUTED_VALUE"""),3.1)</f>
        <v>3.1</v>
      </c>
      <c r="F90" s="8" t="str">
        <f>IFERROR(__xludf.DUMMYFUNCTION("""COMPUTED_VALUE"""),"")</f>
        <v/>
      </c>
    </row>
    <row r="91">
      <c r="A91" s="8" t="str">
        <f>IFERROR(__xludf.DUMMYFUNCTION("""COMPUTED_VALUE"""),"BC-090")</f>
        <v>BC-090</v>
      </c>
      <c r="B91" s="8" t="str">
        <f>IFERROR(__xludf.DUMMYFUNCTION("""COMPUTED_VALUE"""),"cerveses")</f>
        <v>cerveses</v>
      </c>
      <c r="C91" s="8" t="str">
        <f>IFERROR(__xludf.DUMMYFUNCTION("""COMPUTED_VALUE"""),"JARRA")</f>
        <v>JARRA</v>
      </c>
      <c r="D91" s="8" t="str">
        <f>IFERROR(__xludf.DUMMYFUNCTION("""COMPUTED_VALUE"""),"0,5 l")</f>
        <v>0,5 l</v>
      </c>
      <c r="E91" s="9">
        <f>IFERROR(__xludf.DUMMYFUNCTION("""COMPUTED_VALUE"""),4.0)</f>
        <v>4</v>
      </c>
      <c r="F91" s="8" t="str">
        <f>IFERROR(__xludf.DUMMYFUNCTION("""COMPUTED_VALUE"""),"")</f>
        <v/>
      </c>
    </row>
    <row r="92">
      <c r="A92" s="8" t="str">
        <f>IFERROR(__xludf.DUMMYFUNCTION("""COMPUTED_VALUE"""),"BC-SUP-001")</f>
        <v>BC-SUP-001</v>
      </c>
      <c r="B92" s="8" t="str">
        <f>IFERROR(__xludf.DUMMYFUNCTION("""COMPUTED_VALUE"""),"suplements")</f>
        <v>suplements</v>
      </c>
      <c r="C92" s="8" t="str">
        <f>IFERROR(__xludf.DUMMYFUNCTION("""COMPUTED_VALUE"""),"PERNIL DOLÇ")</f>
        <v>PERNIL DOLÇ</v>
      </c>
      <c r="D92" s="8" t="str">
        <f>IFERROR(__xludf.DUMMYFUNCTION("""COMPUTED_VALUE"""),"")</f>
        <v/>
      </c>
      <c r="E92" s="9">
        <f>IFERROR(__xludf.DUMMYFUNCTION("""COMPUTED_VALUE"""),3.0)</f>
        <v>3</v>
      </c>
      <c r="F92" s="8" t="str">
        <f>IFERROR(__xludf.DUMMYFUNCTION("""COMPUTED_VALUE"""),"")</f>
        <v/>
      </c>
    </row>
    <row r="93">
      <c r="A93" s="8" t="str">
        <f>IFERROR(__xludf.DUMMYFUNCTION("""COMPUTED_VALUE"""),"BC-SUP-002")</f>
        <v>BC-SUP-002</v>
      </c>
      <c r="B93" s="8" t="str">
        <f>IFERROR(__xludf.DUMMYFUNCTION("""COMPUTED_VALUE"""),"suplements")</f>
        <v>suplements</v>
      </c>
      <c r="C93" s="8" t="str">
        <f>IFERROR(__xludf.DUMMYFUNCTION("""COMPUTED_VALUE"""),"MOZZARELLA")</f>
        <v>MOZZARELLA</v>
      </c>
      <c r="D93" s="8" t="str">
        <f>IFERROR(__xludf.DUMMYFUNCTION("""COMPUTED_VALUE"""),"")</f>
        <v/>
      </c>
      <c r="E93" s="9">
        <f>IFERROR(__xludf.DUMMYFUNCTION("""COMPUTED_VALUE"""),3.0)</f>
        <v>3</v>
      </c>
      <c r="F93" s="8" t="str">
        <f>IFERROR(__xludf.DUMMYFUNCTION("""COMPUTED_VALUE"""),"")</f>
        <v/>
      </c>
    </row>
    <row r="94">
      <c r="A94" s="8" t="str">
        <f>IFERROR(__xludf.DUMMYFUNCTION("""COMPUTED_VALUE"""),"BC-SUP-003")</f>
        <v>BC-SUP-003</v>
      </c>
      <c r="B94" s="8" t="str">
        <f>IFERROR(__xludf.DUMMYFUNCTION("""COMPUTED_VALUE"""),"suplements")</f>
        <v>suplements</v>
      </c>
      <c r="C94" s="8" t="str">
        <f>IFERROR(__xludf.DUMMYFUNCTION("""COMPUTED_VALUE"""),"ANXOVES")</f>
        <v>ANXOVES</v>
      </c>
      <c r="D94" s="8" t="str">
        <f>IFERROR(__xludf.DUMMYFUNCTION("""COMPUTED_VALUE"""),"6 unitats")</f>
        <v>6 unitats</v>
      </c>
      <c r="E94" s="9">
        <f>IFERROR(__xludf.DUMMYFUNCTION("""COMPUTED_VALUE"""),4.5)</f>
        <v>4.5</v>
      </c>
      <c r="F94" s="8" t="str">
        <f>IFERROR(__xludf.DUMMYFUNCTION("""COMPUTED_VALUE"""),"")</f>
        <v/>
      </c>
    </row>
    <row r="95">
      <c r="A95" s="8" t="str">
        <f>IFERROR(__xludf.DUMMYFUNCTION("""COMPUTED_VALUE"""),"BC-SUP-004")</f>
        <v>BC-SUP-004</v>
      </c>
      <c r="B95" s="8" t="str">
        <f>IFERROR(__xludf.DUMMYFUNCTION("""COMPUTED_VALUE"""),"suplements")</f>
        <v>suplements</v>
      </c>
      <c r="C95" s="8" t="str">
        <f>IFERROR(__xludf.DUMMYFUNCTION("""COMPUTED_VALUE"""),"CHAMPIGNON")</f>
        <v>CHAMPIGNON</v>
      </c>
      <c r="D95" s="8" t="str">
        <f>IFERROR(__xludf.DUMMYFUNCTION("""COMPUTED_VALUE"""),"")</f>
        <v/>
      </c>
      <c r="E95" s="9">
        <f>IFERROR(__xludf.DUMMYFUNCTION("""COMPUTED_VALUE"""),2.25)</f>
        <v>2.25</v>
      </c>
      <c r="F95" s="8" t="str">
        <f>IFERROR(__xludf.DUMMYFUNCTION("""COMPUTED_VALUE"""),"")</f>
        <v/>
      </c>
    </row>
    <row r="96">
      <c r="A96" s="8" t="str">
        <f>IFERROR(__xludf.DUMMYFUNCTION("""COMPUTED_VALUE"""),"BC-SUP-005")</f>
        <v>BC-SUP-005</v>
      </c>
      <c r="B96" s="8" t="str">
        <f>IFERROR(__xludf.DUMMYFUNCTION("""COMPUTED_VALUE"""),"suplements")</f>
        <v>suplements</v>
      </c>
      <c r="C96" s="8" t="str">
        <f>IFERROR(__xludf.DUMMYFUNCTION("""COMPUTED_VALUE"""),"CARXOFA")</f>
        <v>CARXOFA</v>
      </c>
      <c r="D96" s="8" t="str">
        <f>IFERROR(__xludf.DUMMYFUNCTION("""COMPUTED_VALUE"""),"")</f>
        <v/>
      </c>
      <c r="E96" s="9">
        <f>IFERROR(__xludf.DUMMYFUNCTION("""COMPUTED_VALUE"""),2.25)</f>
        <v>2.25</v>
      </c>
      <c r="F96" s="8" t="str">
        <f>IFERROR(__xludf.DUMMYFUNCTION("""COMPUTED_VALUE"""),"")</f>
        <v/>
      </c>
    </row>
    <row r="97">
      <c r="A97" s="8" t="str">
        <f>IFERROR(__xludf.DUMMYFUNCTION("""COMPUTED_VALUE"""),"BC-SUP-006")</f>
        <v>BC-SUP-006</v>
      </c>
      <c r="B97" s="8" t="str">
        <f>IFERROR(__xludf.DUMMYFUNCTION("""COMPUTED_VALUE"""),"suplements")</f>
        <v>suplements</v>
      </c>
      <c r="C97" s="8" t="str">
        <f>IFERROR(__xludf.DUMMYFUNCTION("""COMPUTED_VALUE"""),"TONYINA")</f>
        <v>TONYINA</v>
      </c>
      <c r="D97" s="8" t="str">
        <f>IFERROR(__xludf.DUMMYFUNCTION("""COMPUTED_VALUE"""),"")</f>
        <v/>
      </c>
      <c r="E97" s="9">
        <f>IFERROR(__xludf.DUMMYFUNCTION("""COMPUTED_VALUE"""),3.5)</f>
        <v>3.5</v>
      </c>
      <c r="F97" s="8" t="str">
        <f>IFERROR(__xludf.DUMMYFUNCTION("""COMPUTED_VALUE"""),"")</f>
        <v/>
      </c>
    </row>
    <row r="98">
      <c r="A98" s="8" t="str">
        <f>IFERROR(__xludf.DUMMYFUNCTION("""COMPUTED_VALUE"""),"BC-SUP-007")</f>
        <v>BC-SUP-007</v>
      </c>
      <c r="B98" s="8" t="str">
        <f>IFERROR(__xludf.DUMMYFUNCTION("""COMPUTED_VALUE"""),"suplements")</f>
        <v>suplements</v>
      </c>
      <c r="C98" s="8" t="str">
        <f>IFERROR(__xludf.DUMMYFUNCTION("""COMPUTED_VALUE"""),"CEBA")</f>
        <v>CEBA</v>
      </c>
      <c r="D98" s="8" t="str">
        <f>IFERROR(__xludf.DUMMYFUNCTION("""COMPUTED_VALUE"""),"")</f>
        <v/>
      </c>
      <c r="E98" s="9">
        <f>IFERROR(__xludf.DUMMYFUNCTION("""COMPUTED_VALUE"""),1.5)</f>
        <v>1.5</v>
      </c>
      <c r="F98" s="8" t="str">
        <f>IFERROR(__xludf.DUMMYFUNCTION("""COMPUTED_VALUE"""),"")</f>
        <v/>
      </c>
    </row>
    <row r="99">
      <c r="A99" s="8" t="str">
        <f>IFERROR(__xludf.DUMMYFUNCTION("""COMPUTED_VALUE"""),"BC-SUP-008")</f>
        <v>BC-SUP-008</v>
      </c>
      <c r="B99" s="8" t="str">
        <f>IFERROR(__xludf.DUMMYFUNCTION("""COMPUTED_VALUE"""),"suplements")</f>
        <v>suplements</v>
      </c>
      <c r="C99" s="8" t="str">
        <f>IFERROR(__xludf.DUMMYFUNCTION("""COMPUTED_VALUE"""),"OU")</f>
        <v>OU</v>
      </c>
      <c r="D99" s="8" t="str">
        <f>IFERROR(__xludf.DUMMYFUNCTION("""COMPUTED_VALUE"""),"")</f>
        <v/>
      </c>
      <c r="E99" s="9">
        <f>IFERROR(__xludf.DUMMYFUNCTION("""COMPUTED_VALUE"""),1.5)</f>
        <v>1.5</v>
      </c>
      <c r="F99" s="8" t="str">
        <f>IFERROR(__xludf.DUMMYFUNCTION("""COMPUTED_VALUE"""),"")</f>
        <v/>
      </c>
    </row>
    <row r="100">
      <c r="A100" s="8" t="str">
        <f>IFERROR(__xludf.DUMMYFUNCTION("""COMPUTED_VALUE"""),"BC-SUP-009")</f>
        <v>BC-SUP-009</v>
      </c>
      <c r="B100" s="8" t="str">
        <f>IFERROR(__xludf.DUMMYFUNCTION("""COMPUTED_VALUE"""),"suplements")</f>
        <v>suplements</v>
      </c>
      <c r="C100" s="8" t="str">
        <f>IFERROR(__xludf.DUMMYFUNCTION("""COMPUTED_VALUE"""),"BURRATA")</f>
        <v>BURRATA</v>
      </c>
      <c r="D100" s="8" t="str">
        <f>IFERROR(__xludf.DUMMYFUNCTION("""COMPUTED_VALUE"""),"")</f>
        <v/>
      </c>
      <c r="E100" s="9">
        <f>IFERROR(__xludf.DUMMYFUNCTION("""COMPUTED_VALUE"""),5.75)</f>
        <v>5.75</v>
      </c>
      <c r="F100" s="8" t="str">
        <f>IFERROR(__xludf.DUMMYFUNCTION("""COMPUTED_VALUE"""),"")</f>
        <v/>
      </c>
    </row>
    <row r="101">
      <c r="A101" s="8" t="str">
        <f>IFERROR(__xludf.DUMMYFUNCTION("""COMPUTED_VALUE"""),"BC-SUP-010")</f>
        <v>BC-SUP-010</v>
      </c>
      <c r="B101" s="8" t="str">
        <f>IFERROR(__xludf.DUMMYFUNCTION("""COMPUTED_VALUE"""),"suplements")</f>
        <v>suplements</v>
      </c>
      <c r="C101" s="8" t="str">
        <f>IFERROR(__xludf.DUMMYFUNCTION("""COMPUTED_VALUE"""),"PERNIL IBÈRIC")</f>
        <v>PERNIL IBÈRIC</v>
      </c>
      <c r="D101" s="8" t="str">
        <f>IFERROR(__xludf.DUMMYFUNCTION("""COMPUTED_VALUE"""),"")</f>
        <v/>
      </c>
      <c r="E101" s="9">
        <f>IFERROR(__xludf.DUMMYFUNCTION("""COMPUTED_VALUE"""),5.75)</f>
        <v>5.75</v>
      </c>
      <c r="F101" s="8" t="str">
        <f>IFERROR(__xludf.DUMMYFUNCTION("""COMPUTED_VALUE"""),"")</f>
        <v/>
      </c>
    </row>
    <row r="102">
      <c r="A102" s="8" t="str">
        <f>IFERROR(__xludf.DUMMYFUNCTION("""COMPUTED_VALUE"""),"BC-SUP-011")</f>
        <v>BC-SUP-011</v>
      </c>
      <c r="B102" s="8" t="str">
        <f>IFERROR(__xludf.DUMMYFUNCTION("""COMPUTED_VALUE"""),"suplements")</f>
        <v>suplements</v>
      </c>
      <c r="C102" s="8" t="str">
        <f>IFERROR(__xludf.DUMMYFUNCTION("""COMPUTED_VALUE"""),"VERDURES EXTRA")</f>
        <v>VERDURES EXTRA</v>
      </c>
      <c r="D102" s="8" t="str">
        <f>IFERROR(__xludf.DUMMYFUNCTION("""COMPUTED_VALUE"""),"")</f>
        <v/>
      </c>
      <c r="E102" s="9">
        <f>IFERROR(__xludf.DUMMYFUNCTION("""COMPUTED_VALUE"""),2.25)</f>
        <v>2.25</v>
      </c>
      <c r="F102" s="8" t="str">
        <f>IFERROR(__xludf.DUMMYFUNCTION("""COMPUTED_VALUE"""),"")</f>
        <v/>
      </c>
    </row>
    <row r="103">
      <c r="A103" s="8" t="str">
        <f>IFERROR(__xludf.DUMMYFUNCTION("""COMPUTED_VALUE"""),"BC-SUP-012")</f>
        <v>BC-SUP-012</v>
      </c>
      <c r="B103" s="8" t="str">
        <f>IFERROR(__xludf.DUMMYFUNCTION("""COMPUTED_VALUE"""),"suplements")</f>
        <v>suplements</v>
      </c>
      <c r="C103" s="8" t="str">
        <f>IFERROR(__xludf.DUMMYFUNCTION("""COMPUTED_VALUE"""),"TOMÀQUET")</f>
        <v>TOMÀQUET</v>
      </c>
      <c r="D103" s="8" t="str">
        <f>IFERROR(__xludf.DUMMYFUNCTION("""COMPUTED_VALUE"""),"")</f>
        <v/>
      </c>
      <c r="E103" s="9">
        <f>IFERROR(__xludf.DUMMYFUNCTION("""COMPUTED_VALUE"""),2.25)</f>
        <v>2.25</v>
      </c>
      <c r="F103" s="8" t="str">
        <f>IFERROR(__xludf.DUMMYFUNCTION("""COMPUTED_VALUE"""),"")</f>
        <v/>
      </c>
    </row>
    <row r="104">
      <c r="A104" s="8" t="str">
        <f>IFERROR(__xludf.DUMMYFUNCTION("""COMPUTED_VALUE"""),"BC-SUP-013")</f>
        <v>BC-SUP-013</v>
      </c>
      <c r="B104" s="8" t="str">
        <f>IFERROR(__xludf.DUMMYFUNCTION("""COMPUTED_VALUE"""),"suplements")</f>
        <v>suplements</v>
      </c>
      <c r="C104" s="8" t="str">
        <f>IFERROR(__xludf.DUMMYFUNCTION("""COMPUTED_VALUE"""),"SALSES")</f>
        <v>SALSES</v>
      </c>
      <c r="D104" s="8" t="str">
        <f>IFERROR(__xludf.DUMMYFUNCTION("""COMPUTED_VALUE"""),"")</f>
        <v/>
      </c>
      <c r="E104" s="9">
        <f>IFERROR(__xludf.DUMMYFUNCTION("""COMPUTED_VALUE"""),2.0)</f>
        <v>2</v>
      </c>
      <c r="F104" s="8" t="str">
        <f>IFERROR(__xludf.DUMMYFUNCTION("""COMPUTED_VALUE"""),"")</f>
        <v/>
      </c>
    </row>
    <row r="105">
      <c r="A105" s="8" t="str">
        <f>IFERROR(__xludf.DUMMYFUNCTION("""COMPUTED_VALUE"""),"BC-SUP-014")</f>
        <v>BC-SUP-014</v>
      </c>
      <c r="B105" s="8" t="str">
        <f>IFERROR(__xludf.DUMMYFUNCTION("""COMPUTED_VALUE"""),"suplements")</f>
        <v>suplements</v>
      </c>
      <c r="C105" s="8" t="str">
        <f>IFERROR(__xludf.DUMMYFUNCTION("""COMPUTED_VALUE"""),"GUANCIALE")</f>
        <v>GUANCIALE</v>
      </c>
      <c r="D105" s="8" t="str">
        <f>IFERROR(__xludf.DUMMYFUNCTION("""COMPUTED_VALUE"""),"")</f>
        <v/>
      </c>
      <c r="E105" s="9">
        <f>IFERROR(__xludf.DUMMYFUNCTION("""COMPUTED_VALUE"""),3.75)</f>
        <v>3.75</v>
      </c>
      <c r="F105" s="8" t="str">
        <f>IFERROR(__xludf.DUMMYFUNCTION("""COMPUTED_VALUE"""),"")</f>
        <v/>
      </c>
    </row>
    <row r="106">
      <c r="A106" s="8" t="str">
        <f>IFERROR(__xludf.DUMMYFUNCTION("""COMPUTED_VALUE"""),"BC-SUP-015")</f>
        <v>BC-SUP-015</v>
      </c>
      <c r="B106" s="8" t="str">
        <f>IFERROR(__xludf.DUMMYFUNCTION("""COMPUTED_VALUE"""),"suplements")</f>
        <v>suplements</v>
      </c>
      <c r="C106" s="8" t="str">
        <f>IFERROR(__xludf.DUMMYFUNCTION("""COMPUTED_VALUE"""),"PARMESÀ")</f>
        <v>PARMESÀ</v>
      </c>
      <c r="D106" s="8" t="str">
        <f>IFERROR(__xludf.DUMMYFUNCTION("""COMPUTED_VALUE"""),"")</f>
        <v/>
      </c>
      <c r="E106" s="9">
        <f>IFERROR(__xludf.DUMMYFUNCTION("""COMPUTED_VALUE"""),3.5)</f>
        <v>3.5</v>
      </c>
      <c r="F106" s="8" t="str">
        <f>IFERROR(__xludf.DUMMYFUNCTION("""COMPUTED_VALUE"""),"")</f>
        <v/>
      </c>
    </row>
    <row r="107">
      <c r="A107" s="8" t="str">
        <f>IFERROR(__xludf.DUMMYFUNCTION("""COMPUTED_VALUE"""),"BC-SUP-016")</f>
        <v>BC-SUP-016</v>
      </c>
      <c r="B107" s="8" t="str">
        <f>IFERROR(__xludf.DUMMYFUNCTION("""COMPUTED_VALUE"""),"suplements")</f>
        <v>suplements</v>
      </c>
      <c r="C107" s="8" t="str">
        <f>IFERROR(__xludf.DUMMYFUNCTION("""COMPUTED_VALUE"""),"GAMBES")</f>
        <v>GAMBES</v>
      </c>
      <c r="D107" s="8" t="str">
        <f>IFERROR(__xludf.DUMMYFUNCTION("""COMPUTED_VALUE"""),"")</f>
        <v/>
      </c>
      <c r="E107" s="9">
        <f>IFERROR(__xludf.DUMMYFUNCTION("""COMPUTED_VALUE"""),5.25)</f>
        <v>5.25</v>
      </c>
      <c r="F107" s="8" t="str">
        <f>IFERROR(__xludf.DUMMYFUNCTION("""COMPUTED_VALUE"""),"")</f>
        <v/>
      </c>
    </row>
    <row r="108">
      <c r="A108" s="8" t="str">
        <f>IFERROR(__xludf.DUMMYFUNCTION("""COMPUTED_VALUE"""),"BC-SUP-017")</f>
        <v>BC-SUP-017</v>
      </c>
      <c r="B108" s="8" t="str">
        <f>IFERROR(__xludf.DUMMYFUNCTION("""COMPUTED_VALUE"""),"suplements")</f>
        <v>suplements</v>
      </c>
      <c r="C108" s="8" t="str">
        <f>IFERROR(__xludf.DUMMYFUNCTION("""COMPUTED_VALUE"""),"OLIVES")</f>
        <v>OLIVES</v>
      </c>
      <c r="D108" s="8" t="str">
        <f>IFERROR(__xludf.DUMMYFUNCTION("""COMPUTED_VALUE"""),"")</f>
        <v/>
      </c>
      <c r="E108" s="9">
        <f>IFERROR(__xludf.DUMMYFUNCTION("""COMPUTED_VALUE"""),1.5)</f>
        <v>1.5</v>
      </c>
      <c r="F108" s="8" t="str">
        <f>IFERROR(__xludf.DUMMYFUNCTION("""COMPUTED_VALUE"""),"")</f>
        <v/>
      </c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88"/>
  </cols>
  <sheetData>
    <row r="1" ht="28.5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16</v>
      </c>
    </row>
    <row r="2">
      <c r="A2" s="8" t="str">
        <f>IFERROR(__xludf.DUMMYFUNCTION("IFERROR(FILTER(HSTACK(MAESTRA!A2:A200,MAESTRA!C2:C200,IF(CONTROL!$B$4=""CAT"",MAESTRA!D2:D200,IF(CONTROL!$B$4=""ES"",MAESTRA!F2:F200,IF(CONTROL!$B$4=""FR"",MAESTRA!H2:H200,MAESTRA!J2:J200))),IF(CONTROL!$B$4=""CAT"",MAESTRA!E2:E200,IF(CONTROL!$B$4=""ES"",M"&amp;"AESTRA!G2:G200,IF(CONTROL!$B$4=""FR"",MAESTRA!I2:I200,MAESTRA!K2:K200))),MAESTRA!L2:L200,MAESTRA!R2:R200),MAESTRA!A2:A200&lt;&gt;"""",MAESTRA!P2:P200=TRUE),"""")"),"BC-001")</f>
        <v>BC-001</v>
      </c>
      <c r="B2" s="8" t="str">
        <f>IFERROR(__xludf.DUMMYFUNCTION("""COMPUTED_VALUE"""),"entrants")</f>
        <v>entrants</v>
      </c>
      <c r="C2" s="8" t="str">
        <f>IFERROR(__xludf.DUMMYFUNCTION("""COMPUTED_VALUE"""),"PA DE PIZZA")</f>
        <v>PA DE PIZZA</v>
      </c>
      <c r="D2" s="8" t="str">
        <f>IFERROR(__xludf.DUMMYFUNCTION("""COMPUTED_VALUE"""),"Massa normal / integral")</f>
        <v>Massa normal / integral</v>
      </c>
      <c r="E2" s="9">
        <f>IFERROR(__xludf.DUMMYFUNCTION("""COMPUTED_VALUE"""),5.0)</f>
        <v>5</v>
      </c>
      <c r="F2" s="8" t="str">
        <f>IFERROR(__xludf.DUMMYFUNCTION("""COMPUTED_VALUE"""),"")</f>
        <v/>
      </c>
    </row>
    <row r="3">
      <c r="A3" s="8" t="str">
        <f>IFERROR(__xludf.DUMMYFUNCTION("""COMPUTED_VALUE"""),"BC-002")</f>
        <v>BC-002</v>
      </c>
      <c r="B3" s="8" t="str">
        <f>IFERROR(__xludf.DUMMYFUNCTION("""COMPUTED_VALUE"""),"entrants")</f>
        <v>entrants</v>
      </c>
      <c r="C3" s="8" t="str">
        <f>IFERROR(__xludf.DUMMYFUNCTION("""COMPUTED_VALUE"""),"FOCACCIA")</f>
        <v>FOCACCIA</v>
      </c>
      <c r="D3" s="8" t="str">
        <f>IFERROR(__xludf.DUMMYFUNCTION("""COMPUTED_VALUE"""),"")</f>
        <v/>
      </c>
      <c r="E3" s="9">
        <f>IFERROR(__xludf.DUMMYFUNCTION("""COMPUTED_VALUE"""),5.0)</f>
        <v>5</v>
      </c>
      <c r="F3" s="8" t="str">
        <f>IFERROR(__xludf.DUMMYFUNCTION("""COMPUTED_VALUE"""),"")</f>
        <v/>
      </c>
    </row>
    <row r="4">
      <c r="A4" s="8" t="str">
        <f>IFERROR(__xludf.DUMMYFUNCTION("""COMPUTED_VALUE"""),"BC-003")</f>
        <v>BC-003</v>
      </c>
      <c r="B4" s="8" t="str">
        <f>IFERROR(__xludf.DUMMYFUNCTION("""COMPUTED_VALUE"""),"entrants")</f>
        <v>entrants</v>
      </c>
      <c r="C4" s="8" t="str">
        <f>IFERROR(__xludf.DUMMYFUNCTION("""COMPUTED_VALUE"""),"PROVOLONE")</f>
        <v>PROVOLONE</v>
      </c>
      <c r="D4" s="8" t="str">
        <f>IFERROR(__xludf.DUMMYFUNCTION("""COMPUTED_VALUE"""),"")</f>
        <v/>
      </c>
      <c r="E4" s="9">
        <f>IFERROR(__xludf.DUMMYFUNCTION("""COMPUTED_VALUE"""),10.0)</f>
        <v>10</v>
      </c>
      <c r="F4" s="8" t="str">
        <f>IFERROR(__xludf.DUMMYFUNCTION("""COMPUTED_VALUE"""),"")</f>
        <v/>
      </c>
    </row>
    <row r="5">
      <c r="A5" s="8" t="str">
        <f>IFERROR(__xludf.DUMMYFUNCTION("""COMPUTED_VALUE"""),"BC-004")</f>
        <v>BC-004</v>
      </c>
      <c r="B5" s="8" t="str">
        <f>IFERROR(__xludf.DUMMYFUNCTION("""COMPUTED_VALUE"""),"entrants")</f>
        <v>entrants</v>
      </c>
      <c r="C5" s="8" t="str">
        <f>IFERROR(__xludf.DUMMYFUNCTION("""COMPUTED_VALUE"""),"POLPETTINES D’ALBERGÍNIA")</f>
        <v>POLPETTINES D’ALBERGÍNIA</v>
      </c>
      <c r="D5" s="8" t="str">
        <f>IFERROR(__xludf.DUMMYFUNCTION("""COMPUTED_VALUE"""),"6 unitats (cada unitat addicional +1,75 €)")</f>
        <v>6 unitats (cada unitat addicional +1,75 €)</v>
      </c>
      <c r="E5" s="9">
        <f>IFERROR(__xludf.DUMMYFUNCTION("""COMPUTED_VALUE"""),9.0)</f>
        <v>9</v>
      </c>
      <c r="F5" s="8" t="str">
        <f>IFERROR(__xludf.DUMMYFUNCTION("""COMPUTED_VALUE"""),"")</f>
        <v/>
      </c>
    </row>
    <row r="6">
      <c r="A6" s="8" t="str">
        <f>IFERROR(__xludf.DUMMYFUNCTION("""COMPUTED_VALUE"""),"BC-005")</f>
        <v>BC-005</v>
      </c>
      <c r="B6" s="8" t="str">
        <f>IFERROR(__xludf.DUMMYFUNCTION("""COMPUTED_VALUE"""),"entrants")</f>
        <v>entrants</v>
      </c>
      <c r="C6" s="8" t="str">
        <f>IFERROR(__xludf.DUMMYFUNCTION("""COMPUTED_VALUE"""),"VITELLO TONNATO")</f>
        <v>VITELLO TONNATO</v>
      </c>
      <c r="D6" s="8" t="str">
        <f>IFERROR(__xludf.DUMMYFUNCTION("""COMPUTED_VALUE"""),"Utilitzem carn de vedell / amb salsa de tonyina")</f>
        <v>Utilitzem carn de vedell / amb salsa de tonyina</v>
      </c>
      <c r="E6" s="9">
        <f>IFERROR(__xludf.DUMMYFUNCTION("""COMPUTED_VALUE"""),16.5)</f>
        <v>16.5</v>
      </c>
      <c r="F6" s="8" t="str">
        <f>IFERROR(__xludf.DUMMYFUNCTION("""COMPUTED_VALUE"""),"")</f>
        <v/>
      </c>
    </row>
    <row r="7">
      <c r="A7" s="8" t="str">
        <f>IFERROR(__xludf.DUMMYFUNCTION("""COMPUTED_VALUE"""),"BC-006")</f>
        <v>BC-006</v>
      </c>
      <c r="B7" s="8" t="str">
        <f>IFERROR(__xludf.DUMMYFUNCTION("""COMPUTED_VALUE"""),"entrants")</f>
        <v>entrants</v>
      </c>
      <c r="C7" s="8" t="str">
        <f>IFERROR(__xludf.DUMMYFUNCTION("""COMPUTED_VALUE"""),"BURRATA")</f>
        <v>BURRATA</v>
      </c>
      <c r="D7" s="8" t="str">
        <f>IFERROR(__xludf.DUMMYFUNCTION("""COMPUTED_VALUE"""),"Amb salsa pesto o tòfona / tomàquet sec casolà / ruca / pa")</f>
        <v>Amb salsa pesto o tòfona / tomàquet sec casolà / ruca / pa</v>
      </c>
      <c r="E7" s="9">
        <f>IFERROR(__xludf.DUMMYFUNCTION("""COMPUTED_VALUE"""),15.5)</f>
        <v>15.5</v>
      </c>
      <c r="F7" s="8" t="str">
        <f>IFERROR(__xludf.DUMMYFUNCTION("""COMPUTED_VALUE"""),"")</f>
        <v/>
      </c>
    </row>
    <row r="8">
      <c r="A8" s="8" t="str">
        <f>IFERROR(__xludf.DUMMYFUNCTION("""COMPUTED_VALUE"""),"BC-007")</f>
        <v>BC-007</v>
      </c>
      <c r="B8" s="8" t="str">
        <f>IFERROR(__xludf.DUMMYFUNCTION("""COMPUTED_VALUE"""),"entrants")</f>
        <v>entrants</v>
      </c>
      <c r="C8" s="8" t="str">
        <f>IFERROR(__xludf.DUMMYFUNCTION("""COMPUTED_VALUE"""),"CARPACCIO DE CARBASSÓ")</f>
        <v>CARPACCIO DE CARBASSÓ</v>
      </c>
      <c r="D8" s="8" t="str">
        <f>IFERROR(__xludf.DUMMYFUNCTION("""COMPUTED_VALUE"""),"Amb tomàquets secs, stracciatella i pinyons")</f>
        <v>Amb tomàquets secs, stracciatella i pinyons</v>
      </c>
      <c r="E8" s="9">
        <f>IFERROR(__xludf.DUMMYFUNCTION("""COMPUTED_VALUE"""),15.5)</f>
        <v>15.5</v>
      </c>
      <c r="F8" s="8" t="str">
        <f>IFERROR(__xludf.DUMMYFUNCTION("""COMPUTED_VALUE"""),"")</f>
        <v/>
      </c>
    </row>
    <row r="9">
      <c r="A9" s="8" t="str">
        <f>IFERROR(__xludf.DUMMYFUNCTION("""COMPUTED_VALUE"""),"BC-008")</f>
        <v>BC-008</v>
      </c>
      <c r="B9" s="8" t="str">
        <f>IFERROR(__xludf.DUMMYFUNCTION("""COMPUTED_VALUE"""),"amanides")</f>
        <v>amanides</v>
      </c>
      <c r="C9" s="8" t="str">
        <f>IFERROR(__xludf.DUMMYFUNCTION("""COMPUTED_VALUE"""),"BELLA CIAO")</f>
        <v>BELLA CIAO</v>
      </c>
      <c r="D9" s="8" t="str">
        <f>IFERROR(__xludf.DUMMYFUNCTION("""COMPUTED_VALUE"""),"Albergínia / tomàquet / filadèlfia / julivert / menta / salsa de xili dolça / sèsamo")</f>
        <v>Albergínia / tomàquet / filadèlfia / julivert / menta / salsa de xili dolça / sèsamo</v>
      </c>
      <c r="E9" s="9">
        <f>IFERROR(__xludf.DUMMYFUNCTION("""COMPUTED_VALUE"""),16.0)</f>
        <v>16</v>
      </c>
      <c r="F9" s="8" t="str">
        <f>IFERROR(__xludf.DUMMYFUNCTION("""COMPUTED_VALUE"""),"")</f>
        <v/>
      </c>
    </row>
    <row r="10">
      <c r="A10" s="8" t="str">
        <f>IFERROR(__xludf.DUMMYFUNCTION("""COMPUTED_VALUE"""),"BC-009")</f>
        <v>BC-009</v>
      </c>
      <c r="B10" s="8" t="str">
        <f>IFERROR(__xludf.DUMMYFUNCTION("""COMPUTED_VALUE"""),"amanides")</f>
        <v>amanides</v>
      </c>
      <c r="C10" s="8" t="str">
        <f>IFERROR(__xludf.DUMMYFUNCTION("""COMPUTED_VALUE"""),"BUFALATA")</f>
        <v>BUFALATA</v>
      </c>
      <c r="D10" s="8" t="str">
        <f>IFERROR(__xludf.DUMMYFUNCTION("""COMPUTED_VALUE"""),"Mesclum / burrata / bresaola / nous / olives")</f>
        <v>Mesclum / burrata / bresaola / nous / olives</v>
      </c>
      <c r="E10" s="9">
        <f>IFERROR(__xludf.DUMMYFUNCTION("""COMPUTED_VALUE"""),16.0)</f>
        <v>16</v>
      </c>
      <c r="F10" s="8" t="str">
        <f>IFERROR(__xludf.DUMMYFUNCTION("""COMPUTED_VALUE"""),"")</f>
        <v/>
      </c>
    </row>
    <row r="11">
      <c r="A11" s="8" t="str">
        <f>IFERROR(__xludf.DUMMYFUNCTION("""COMPUTED_VALUE"""),"BC-010")</f>
        <v>BC-010</v>
      </c>
      <c r="B11" s="8" t="str">
        <f>IFERROR(__xludf.DUMMYFUNCTION("""COMPUTED_VALUE"""),"amanides")</f>
        <v>amanides</v>
      </c>
      <c r="C11" s="8" t="str">
        <f>IFERROR(__xludf.DUMMYFUNCTION("""COMPUTED_VALUE"""),"CÈSAR")</f>
        <v>CÈSAR</v>
      </c>
      <c r="D11" s="8" t="str">
        <f>IFERROR(__xludf.DUMMYFUNCTION("""COMPUTED_VALUE"""),"Enciam / pollastre / crostons / cherry / parmesà / salsa cèsar")</f>
        <v>Enciam / pollastre / crostons / cherry / parmesà / salsa cèsar</v>
      </c>
      <c r="E11" s="9">
        <f>IFERROR(__xludf.DUMMYFUNCTION("""COMPUTED_VALUE"""),16.0)</f>
        <v>16</v>
      </c>
      <c r="F11" s="8" t="str">
        <f>IFERROR(__xludf.DUMMYFUNCTION("""COMPUTED_VALUE"""),"")</f>
        <v/>
      </c>
    </row>
    <row r="12">
      <c r="A12" s="8" t="str">
        <f>IFERROR(__xludf.DUMMYFUNCTION("""COMPUTED_VALUE"""),"BC-011")</f>
        <v>BC-011</v>
      </c>
      <c r="B12" s="8" t="str">
        <f>IFERROR(__xludf.DUMMYFUNCTION("""COMPUTED_VALUE"""),"amanides")</f>
        <v>amanides</v>
      </c>
      <c r="C12" s="8" t="str">
        <f>IFERROR(__xludf.DUMMYFUNCTION("""COMPUTED_VALUE"""),"CABRA")</f>
        <v>CABRA</v>
      </c>
      <c r="D12" s="8" t="str">
        <f>IFERROR(__xludf.DUMMYFUNCTION("""COMPUTED_VALUE"""),"Mesclum / cherry / escalivada / albergínia, pebre, ceba / nous / cabra / balsàmic")</f>
        <v>Mesclum / cherry / escalivada / albergínia, pebre, ceba / nous / cabra / balsàmic</v>
      </c>
      <c r="E12" s="9">
        <f>IFERROR(__xludf.DUMMYFUNCTION("""COMPUTED_VALUE"""),16.0)</f>
        <v>16</v>
      </c>
      <c r="F12" s="8" t="str">
        <f>IFERROR(__xludf.DUMMYFUNCTION("""COMPUTED_VALUE"""),"")</f>
        <v/>
      </c>
    </row>
    <row r="13">
      <c r="A13" s="8" t="str">
        <f>IFERROR(__xludf.DUMMYFUNCTION("""COMPUTED_VALUE"""),"BC-012")</f>
        <v>BC-012</v>
      </c>
      <c r="B13" s="8" t="str">
        <f>IFERROR(__xludf.DUMMYFUNCTION("""COMPUTED_VALUE"""),"amanides")</f>
        <v>amanides</v>
      </c>
      <c r="C13" s="8" t="str">
        <f>IFERROR(__xludf.DUMMYFUNCTION("""COMPUTED_VALUE"""),"LUNA CAPRESE")</f>
        <v>LUNA CAPRESE</v>
      </c>
      <c r="D13" s="8" t="str">
        <f>IFERROR(__xludf.DUMMYFUNCTION("""COMPUTED_VALUE"""),"Tomàquet / mozzarella / salsa pesto / ruca / salsa mòdena")</f>
        <v>Tomàquet / mozzarella / salsa pesto / ruca / salsa mòdena</v>
      </c>
      <c r="E13" s="9">
        <f>IFERROR(__xludf.DUMMYFUNCTION("""COMPUTED_VALUE"""),15.5)</f>
        <v>15.5</v>
      </c>
      <c r="F13" s="8" t="str">
        <f>IFERROR(__xludf.DUMMYFUNCTION("""COMPUTED_VALUE"""),"")</f>
        <v/>
      </c>
    </row>
    <row r="14">
      <c r="A14" s="8" t="str">
        <f>IFERROR(__xludf.DUMMYFUNCTION("""COMPUTED_VALUE"""),"BC-013")</f>
        <v>BC-013</v>
      </c>
      <c r="B14" s="8" t="str">
        <f>IFERROR(__xludf.DUMMYFUNCTION("""COMPUTED_VALUE"""),"sopes")</f>
        <v>sopes</v>
      </c>
      <c r="C14" s="8" t="str">
        <f>IFERROR(__xludf.DUMMYFUNCTION("""COMPUTED_VALUE"""),"SOPA DE LLENTIES")</f>
        <v>SOPA DE LLENTIES</v>
      </c>
      <c r="D14" s="8" t="str">
        <f>IFERROR(__xludf.DUMMYFUNCTION("""COMPUTED_VALUE"""),"")</f>
        <v/>
      </c>
      <c r="E14" s="9">
        <f>IFERROR(__xludf.DUMMYFUNCTION("""COMPUTED_VALUE"""),6.0)</f>
        <v>6</v>
      </c>
      <c r="F14" s="8" t="str">
        <f>IFERROR(__xludf.DUMMYFUNCTION("""COMPUTED_VALUE"""),"")</f>
        <v/>
      </c>
    </row>
    <row r="15">
      <c r="A15" s="8" t="str">
        <f>IFERROR(__xludf.DUMMYFUNCTION("""COMPUTED_VALUE"""),"BC-014")</f>
        <v>BC-014</v>
      </c>
      <c r="B15" s="8" t="str">
        <f>IFERROR(__xludf.DUMMYFUNCTION("""COMPUTED_VALUE"""),"sopes")</f>
        <v>sopes</v>
      </c>
      <c r="C15" s="8" t="str">
        <f>IFERROR(__xludf.DUMMYFUNCTION("""COMPUTED_VALUE"""),"SOPA DE BROCOLI")</f>
        <v>SOPA DE BROCOLI</v>
      </c>
      <c r="D15" s="8" t="str">
        <f>IFERROR(__xludf.DUMMYFUNCTION("""COMPUTED_VALUE"""),"")</f>
        <v/>
      </c>
      <c r="E15" s="9">
        <f>IFERROR(__xludf.DUMMYFUNCTION("""COMPUTED_VALUE"""),6.0)</f>
        <v>6</v>
      </c>
      <c r="F15" s="8" t="str">
        <f>IFERROR(__xludf.DUMMYFUNCTION("""COMPUTED_VALUE"""),"")</f>
        <v/>
      </c>
    </row>
    <row r="16">
      <c r="A16" s="8" t="str">
        <f>IFERROR(__xludf.DUMMYFUNCTION("""COMPUTED_VALUE"""),"BC-015")</f>
        <v>BC-015</v>
      </c>
      <c r="B16" s="8" t="str">
        <f>IFERROR(__xludf.DUMMYFUNCTION("""COMPUTED_VALUE"""),"carn")</f>
        <v>carn</v>
      </c>
      <c r="C16" s="8" t="str">
        <f>IFERROR(__xludf.DUMMYFUNCTION("""COMPUTED_VALUE"""),"CARPACCIO DE BOU")</f>
        <v>CARPACCIO DE BOU</v>
      </c>
      <c r="D16" s="8" t="str">
        <f>IFERROR(__xludf.DUMMYFUNCTION("""COMPUTED_VALUE"""),"")</f>
        <v/>
      </c>
      <c r="E16" s="9">
        <f>IFERROR(__xludf.DUMMYFUNCTION("""COMPUTED_VALUE"""),15.0)</f>
        <v>15</v>
      </c>
      <c r="F16" s="8" t="str">
        <f>IFERROR(__xludf.DUMMYFUNCTION("""COMPUTED_VALUE"""),"")</f>
        <v/>
      </c>
    </row>
    <row r="17">
      <c r="A17" s="8" t="str">
        <f>IFERROR(__xludf.DUMMYFUNCTION("""COMPUTED_VALUE"""),"BC-016")</f>
        <v>BC-016</v>
      </c>
      <c r="B17" s="8" t="str">
        <f>IFERROR(__xludf.DUMMYFUNCTION("""COMPUTED_VALUE"""),"carn")</f>
        <v>carn</v>
      </c>
      <c r="C17" s="8" t="str">
        <f>IFERROR(__xludf.DUMMYFUNCTION("""COMPUTED_VALUE"""),"ENTRECOT DE BOU")</f>
        <v>ENTRECOT DE BOU</v>
      </c>
      <c r="D17" s="8" t="str">
        <f>IFERROR(__xludf.DUMMYFUNCTION("""COMPUTED_VALUE"""),"")</f>
        <v/>
      </c>
      <c r="E17" s="9">
        <f>IFERROR(__xludf.DUMMYFUNCTION("""COMPUTED_VALUE"""),8.5)</f>
        <v>8.5</v>
      </c>
      <c r="F17" s="8" t="str">
        <f>IFERROR(__xludf.DUMMYFUNCTION("""COMPUTED_VALUE"""),"")</f>
        <v/>
      </c>
    </row>
    <row r="18">
      <c r="A18" s="8" t="str">
        <f>IFERROR(__xludf.DUMMYFUNCTION("""COMPUTED_VALUE"""),"BC-017")</f>
        <v>BC-017</v>
      </c>
      <c r="B18" s="8" t="str">
        <f>IFERROR(__xludf.DUMMYFUNCTION("""COMPUTED_VALUE"""),"carn")</f>
        <v>carn</v>
      </c>
      <c r="C18" s="8" t="str">
        <f>IFERROR(__xludf.DUMMYFUNCTION("""COMPUTED_VALUE"""),"EMBOTITS ITALIANS")</f>
        <v>EMBOTITS ITALIANS</v>
      </c>
      <c r="D18" s="8" t="str">
        <f>IFERROR(__xludf.DUMMYFUNCTION("""COMPUTED_VALUE"""),"Bresaola / salami / mortadel·la de tòfona / mortadel·la de pistatxos / la piatta piccante")</f>
        <v>Bresaola / salami / mortadel·la de tòfona / mortadel·la de pistatxos / la piatta piccante</v>
      </c>
      <c r="E18" s="9">
        <f>IFERROR(__xludf.DUMMYFUNCTION("""COMPUTED_VALUE"""),22.5)</f>
        <v>22.5</v>
      </c>
      <c r="F18" s="8" t="str">
        <f>IFERROR(__xludf.DUMMYFUNCTION("""COMPUTED_VALUE"""),"")</f>
        <v/>
      </c>
    </row>
    <row r="19">
      <c r="A19" s="8" t="str">
        <f>IFERROR(__xludf.DUMMYFUNCTION("""COMPUTED_VALUE"""),"BC-018")</f>
        <v>BC-018</v>
      </c>
      <c r="B19" s="8" t="str">
        <f>IFERROR(__xludf.DUMMYFUNCTION("""COMPUTED_VALUE"""),"pasta")</f>
        <v>pasta</v>
      </c>
      <c r="C19" s="8" t="str">
        <f>IFERROR(__xludf.DUMMYFUNCTION("""COMPUTED_VALUE"""),"BIGOLI ALLA NAPOLITANA")</f>
        <v>BIGOLI ALLA NAPOLITANA</v>
      </c>
      <c r="D19" s="8" t="str">
        <f>IFERROR(__xludf.DUMMYFUNCTION("""COMPUTED_VALUE"""),"Pasta amb tomàquets")</f>
        <v>Pasta amb tomàquets</v>
      </c>
      <c r="E19" s="9">
        <f>IFERROR(__xludf.DUMMYFUNCTION("""COMPUTED_VALUE"""),9.5)</f>
        <v>9.5</v>
      </c>
      <c r="F19" s="8" t="str">
        <f>IFERROR(__xludf.DUMMYFUNCTION("""COMPUTED_VALUE"""),"")</f>
        <v/>
      </c>
    </row>
    <row r="20">
      <c r="A20" s="8" t="str">
        <f>IFERROR(__xludf.DUMMYFUNCTION("""COMPUTED_VALUE"""),"BC-019")</f>
        <v>BC-019</v>
      </c>
      <c r="B20" s="8" t="str">
        <f>IFERROR(__xludf.DUMMYFUNCTION("""COMPUTED_VALUE"""),"pasta")</f>
        <v>pasta</v>
      </c>
      <c r="C20" s="8" t="str">
        <f>IFERROR(__xludf.DUMMYFUNCTION("""COMPUTED_VALUE"""),"TAGLIATELLE TARTUFATA")</f>
        <v>TAGLIATELLE TARTUFATA</v>
      </c>
      <c r="D20" s="8" t="str">
        <f>IFERROR(__xludf.DUMMYFUNCTION("""COMPUTED_VALUE"""),"Amb crema de tòfona")</f>
        <v>Amb crema de tòfona</v>
      </c>
      <c r="E20" s="9">
        <f>IFERROR(__xludf.DUMMYFUNCTION("""COMPUTED_VALUE"""),14.0)</f>
        <v>14</v>
      </c>
      <c r="F20" s="8" t="str">
        <f>IFERROR(__xludf.DUMMYFUNCTION("""COMPUTED_VALUE"""),"")</f>
        <v/>
      </c>
    </row>
    <row r="21">
      <c r="A21" s="8" t="str">
        <f>IFERROR(__xludf.DUMMYFUNCTION("""COMPUTED_VALUE"""),"BC-020")</f>
        <v>BC-020</v>
      </c>
      <c r="B21" s="8" t="str">
        <f>IFERROR(__xludf.DUMMYFUNCTION("""COMPUTED_VALUE"""),"pasta")</f>
        <v>pasta</v>
      </c>
      <c r="C21" s="8" t="str">
        <f>IFERROR(__xludf.DUMMYFUNCTION("""COMPUTED_VALUE"""),"GARGANELLI ALL’ARRABBIATA")</f>
        <v>GARGANELLI ALL’ARRABBIATA</v>
      </c>
      <c r="D21" s="8" t="str">
        <f>IFERROR(__xludf.DUMMYFUNCTION("""COMPUTED_VALUE"""),"Salsa picant tradicional casolana")</f>
        <v>Salsa picant tradicional casolana</v>
      </c>
      <c r="E21" s="9">
        <f>IFERROR(__xludf.DUMMYFUNCTION("""COMPUTED_VALUE"""),14.0)</f>
        <v>14</v>
      </c>
      <c r="F21" s="8" t="str">
        <f>IFERROR(__xludf.DUMMYFUNCTION("""COMPUTED_VALUE"""),"")</f>
        <v/>
      </c>
    </row>
    <row r="22">
      <c r="A22" s="8" t="str">
        <f>IFERROR(__xludf.DUMMYFUNCTION("""COMPUTED_VALUE"""),"BC-021")</f>
        <v>BC-021</v>
      </c>
      <c r="B22" s="8" t="str">
        <f>IFERROR(__xludf.DUMMYFUNCTION("""COMPUTED_VALUE"""),"pasta")</f>
        <v>pasta</v>
      </c>
      <c r="C22" s="8" t="str">
        <f>IFERROR(__xludf.DUMMYFUNCTION("""COMPUTED_VALUE"""),"SPAGHETTI RAGÚ ALLA BOLOGNESE")</f>
        <v>SPAGHETTI RAGÚ ALLA BOLOGNESE</v>
      </c>
      <c r="D22" s="8" t="str">
        <f>IFERROR(__xludf.DUMMYFUNCTION("""COMPUTED_VALUE"""),"Salsa casolana de carn d'Andorra")</f>
        <v>Salsa casolana de carn d'Andorra</v>
      </c>
      <c r="E22" s="9">
        <f>IFERROR(__xludf.DUMMYFUNCTION("""COMPUTED_VALUE"""),15.5)</f>
        <v>15.5</v>
      </c>
      <c r="F22" s="8" t="str">
        <f>IFERROR(__xludf.DUMMYFUNCTION("""COMPUTED_VALUE"""),"")</f>
        <v/>
      </c>
    </row>
    <row r="23">
      <c r="A23" s="8" t="str">
        <f>IFERROR(__xludf.DUMMYFUNCTION("""COMPUTED_VALUE"""),"BC-022")</f>
        <v>BC-022</v>
      </c>
      <c r="B23" s="8" t="str">
        <f>IFERROR(__xludf.DUMMYFUNCTION("""COMPUTED_VALUE"""),"pasta")</f>
        <v>pasta</v>
      </c>
      <c r="C23" s="8" t="str">
        <f>IFERROR(__xludf.DUMMYFUNCTION("""COMPUTED_VALUE"""),"TAGLIATELLE 4 FORMATGES")</f>
        <v>TAGLIATELLE 4 FORMATGES</v>
      </c>
      <c r="D23" s="8" t="str">
        <f>IFERROR(__xludf.DUMMYFUNCTION("""COMPUTED_VALUE"""),"Mozzarella / cabra / emmental / gorgonzola")</f>
        <v>Mozzarella / cabra / emmental / gorgonzola</v>
      </c>
      <c r="E23" s="9">
        <f>IFERROR(__xludf.DUMMYFUNCTION("""COMPUTED_VALUE"""),15.5)</f>
        <v>15.5</v>
      </c>
      <c r="F23" s="8" t="str">
        <f>IFERROR(__xludf.DUMMYFUNCTION("""COMPUTED_VALUE"""),"")</f>
        <v/>
      </c>
    </row>
    <row r="24">
      <c r="A24" s="8" t="str">
        <f>IFERROR(__xludf.DUMMYFUNCTION("""COMPUTED_VALUE"""),"BC-023")</f>
        <v>BC-023</v>
      </c>
      <c r="B24" s="8" t="str">
        <f>IFERROR(__xludf.DUMMYFUNCTION("""COMPUTED_VALUE"""),"pasta")</f>
        <v>pasta</v>
      </c>
      <c r="C24" s="8" t="str">
        <f>IFERROR(__xludf.DUMMYFUNCTION("""COMPUTED_VALUE"""),"LINGUINE D’ALL I ALFÀBREGA AMB PESTO")</f>
        <v>LINGUINE D’ALL I ALFÀBREGA AMB PESTO</v>
      </c>
      <c r="D24" s="8" t="str">
        <f>IFERROR(__xludf.DUMMYFUNCTION("""COMPUTED_VALUE"""),"Salsa casolana d’alfàbrega de quilòmetre 0")</f>
        <v>Salsa casolana d’alfàbrega de quilòmetre 0</v>
      </c>
      <c r="E24" s="9">
        <f>IFERROR(__xludf.DUMMYFUNCTION("""COMPUTED_VALUE"""),15.5)</f>
        <v>15.5</v>
      </c>
      <c r="F24" s="8" t="str">
        <f>IFERROR(__xludf.DUMMYFUNCTION("""COMPUTED_VALUE"""),"")</f>
        <v/>
      </c>
    </row>
    <row r="25">
      <c r="A25" s="8" t="str">
        <f>IFERROR(__xludf.DUMMYFUNCTION("""COMPUTED_VALUE"""),"BC-024")</f>
        <v>BC-024</v>
      </c>
      <c r="B25" s="8" t="str">
        <f>IFERROR(__xludf.DUMMYFUNCTION("""COMPUTED_VALUE"""),"pasta")</f>
        <v>pasta</v>
      </c>
      <c r="C25" s="8" t="str">
        <f>IFERROR(__xludf.DUMMYFUNCTION("""COMPUTED_VALUE"""),"BIGOLI ALLA CARBONARA")</f>
        <v>BIGOLI ALLA CARBONARA</v>
      </c>
      <c r="D25" s="8" t="str">
        <f>IFERROR(__xludf.DUMMYFUNCTION("""COMPUTED_VALUE"""),"Recepta tradicional amb ous i guanciale")</f>
        <v>Recepta tradicional amb ous i guanciale</v>
      </c>
      <c r="E25" s="9">
        <f>IFERROR(__xludf.DUMMYFUNCTION("""COMPUTED_VALUE"""),17.0)</f>
        <v>17</v>
      </c>
      <c r="F25" s="8" t="str">
        <f>IFERROR(__xludf.DUMMYFUNCTION("""COMPUTED_VALUE"""),"")</f>
        <v/>
      </c>
    </row>
    <row r="26">
      <c r="A26" s="8" t="str">
        <f>IFERROR(__xludf.DUMMYFUNCTION("""COMPUTED_VALUE"""),"BC-025")</f>
        <v>BC-025</v>
      </c>
      <c r="B26" s="8" t="str">
        <f>IFERROR(__xludf.DUMMYFUNCTION("""COMPUTED_VALUE"""),"pasta")</f>
        <v>pasta</v>
      </c>
      <c r="C26" s="8" t="str">
        <f>IFERROR(__xludf.DUMMYFUNCTION("""COMPUTED_VALUE"""),"SPAGHETTI NERI FRUTTI DI MARE")</f>
        <v>SPAGHETTI NERI FRUTTI DI MARE</v>
      </c>
      <c r="D26" s="8" t="str">
        <f>IFERROR(__xludf.DUMMYFUNCTION("""COMPUTED_VALUE"""),"Salsa de tomàquets cherry / gambes / cloïsses / musclos")</f>
        <v>Salsa de tomàquets cherry / gambes / cloïsses / musclos</v>
      </c>
      <c r="E26" s="9">
        <f>IFERROR(__xludf.DUMMYFUNCTION("""COMPUTED_VALUE"""),22.0)</f>
        <v>22</v>
      </c>
      <c r="F26" s="8" t="str">
        <f>IFERROR(__xludf.DUMMYFUNCTION("""COMPUTED_VALUE"""),"")</f>
        <v/>
      </c>
    </row>
    <row r="27">
      <c r="A27" s="8" t="str">
        <f>IFERROR(__xludf.DUMMYFUNCTION("""COMPUTED_VALUE"""),"BC-026")</f>
        <v>BC-026</v>
      </c>
      <c r="B27" s="8" t="str">
        <f>IFERROR(__xludf.DUMMYFUNCTION("""COMPUTED_VALUE"""),"pasta_farcida")</f>
        <v>pasta_farcida</v>
      </c>
      <c r="C27" s="8" t="str">
        <f>IFERROR(__xludf.DUMMYFUNCTION("""COMPUTED_VALUE"""),"RAVIOLIS DE BOLETS")</f>
        <v>RAVIOLIS DE BOLETS</v>
      </c>
      <c r="D27" s="8" t="str">
        <f>IFERROR(__xludf.DUMMYFUNCTION("""COMPUTED_VALUE"""),"Servit amb salsa casolana de pesto")</f>
        <v>Servit amb salsa casolana de pesto</v>
      </c>
      <c r="E27" s="9">
        <f>IFERROR(__xludf.DUMMYFUNCTION("""COMPUTED_VALUE"""),17.5)</f>
        <v>17.5</v>
      </c>
      <c r="F27" s="8" t="str">
        <f>IFERROR(__xludf.DUMMYFUNCTION("""COMPUTED_VALUE"""),"")</f>
        <v/>
      </c>
    </row>
    <row r="28">
      <c r="A28" s="8" t="str">
        <f>IFERROR(__xludf.DUMMYFUNCTION("""COMPUTED_VALUE"""),"BC-027")</f>
        <v>BC-027</v>
      </c>
      <c r="B28" s="8" t="str">
        <f>IFERROR(__xludf.DUMMYFUNCTION("""COMPUTED_VALUE"""),"pasta_farcida")</f>
        <v>pasta_farcida</v>
      </c>
      <c r="C28" s="8" t="str">
        <f>IFERROR(__xludf.DUMMYFUNCTION("""COMPUTED_VALUE"""),"FIOCCHI AMB PERA I RICOTTA")</f>
        <v>FIOCCHI AMB PERA I RICOTTA</v>
      </c>
      <c r="D28" s="8" t="str">
        <f>IFERROR(__xludf.DUMMYFUNCTION("""COMPUTED_VALUE"""),"Servit amb crema de carbassa casolana")</f>
        <v>Servit amb crema de carbassa casolana</v>
      </c>
      <c r="E28" s="9">
        <f>IFERROR(__xludf.DUMMYFUNCTION("""COMPUTED_VALUE"""),17.0)</f>
        <v>17</v>
      </c>
      <c r="F28" s="8" t="str">
        <f>IFERROR(__xludf.DUMMYFUNCTION("""COMPUTED_VALUE"""),"")</f>
        <v/>
      </c>
    </row>
    <row r="29">
      <c r="A29" s="8" t="str">
        <f>IFERROR(__xludf.DUMMYFUNCTION("""COMPUTED_VALUE"""),"BC-028")</f>
        <v>BC-028</v>
      </c>
      <c r="B29" s="8" t="str">
        <f>IFERROR(__xludf.DUMMYFUNCTION("""COMPUTED_VALUE"""),"pasta_farcida")</f>
        <v>pasta_farcida</v>
      </c>
      <c r="C29" s="8" t="str">
        <f>IFERROR(__xludf.DUMMYFUNCTION("""COMPUTED_VALUE"""),"CANELONS DE CARN")</f>
        <v>CANELONS DE CARN</v>
      </c>
      <c r="D29" s="8" t="str">
        <f>IFERROR(__xludf.DUMMYFUNCTION("""COMPUTED_VALUE"""),"Canelons fets per nosaltres servits amb salsa boloñesa casolana")</f>
        <v>Canelons fets per nosaltres servits amb salsa boloñesa casolana</v>
      </c>
      <c r="E29" s="9">
        <f>IFERROR(__xludf.DUMMYFUNCTION("""COMPUTED_VALUE"""),13.5)</f>
        <v>13.5</v>
      </c>
      <c r="F29" s="8" t="str">
        <f>IFERROR(__xludf.DUMMYFUNCTION("""COMPUTED_VALUE"""),"")</f>
        <v/>
      </c>
    </row>
    <row r="30">
      <c r="A30" s="8" t="str">
        <f>IFERROR(__xludf.DUMMYFUNCTION("""COMPUTED_VALUE"""),"BC-029")</f>
        <v>BC-029</v>
      </c>
      <c r="B30" s="8" t="str">
        <f>IFERROR(__xludf.DUMMYFUNCTION("""COMPUTED_VALUE"""),"pasta_farcida")</f>
        <v>pasta_farcida</v>
      </c>
      <c r="C30" s="8" t="str">
        <f>IFERROR(__xludf.DUMMYFUNCTION("""COMPUTED_VALUE"""),"NYOQUIS")</f>
        <v>NYOQUIS</v>
      </c>
      <c r="D30" s="8" t="str">
        <f>IFERROR(__xludf.DUMMYFUNCTION("""COMPUTED_VALUE"""),"Crema de tomàquet fresc i stracciatella")</f>
        <v>Crema de tomàquet fresc i stracciatella</v>
      </c>
      <c r="E30" s="9">
        <f>IFERROR(__xludf.DUMMYFUNCTION("""COMPUTED_VALUE"""),16.0)</f>
        <v>16</v>
      </c>
      <c r="F30" s="8" t="str">
        <f>IFERROR(__xludf.DUMMYFUNCTION("""COMPUTED_VALUE"""),"")</f>
        <v/>
      </c>
    </row>
    <row r="31">
      <c r="A31" s="8" t="str">
        <f>IFERROR(__xludf.DUMMYFUNCTION("""COMPUTED_VALUE"""),"BC-030")</f>
        <v>BC-030</v>
      </c>
      <c r="B31" s="8" t="str">
        <f>IFERROR(__xludf.DUMMYFUNCTION("""COMPUTED_VALUE"""),"pasta_farcida")</f>
        <v>pasta_farcida</v>
      </c>
      <c r="C31" s="8" t="str">
        <f>IFERROR(__xludf.DUMMYFUNCTION("""COMPUTED_VALUE"""),"LASANYA BOLONYESA")</f>
        <v>LASANYA BOLONYESA</v>
      </c>
      <c r="D31" s="8" t="str">
        <f>IFERROR(__xludf.DUMMYFUNCTION("""COMPUTED_VALUE"""),"Feta per nosaltres / salsa bolonyesa casolana")</f>
        <v>Feta per nosaltres / salsa bolonyesa casolana</v>
      </c>
      <c r="E31" s="9">
        <f>IFERROR(__xludf.DUMMYFUNCTION("""COMPUTED_VALUE"""),15.5)</f>
        <v>15.5</v>
      </c>
      <c r="F31" s="8" t="str">
        <f>IFERROR(__xludf.DUMMYFUNCTION("""COMPUTED_VALUE"""),"")</f>
        <v/>
      </c>
    </row>
    <row r="32">
      <c r="A32" s="8" t="str">
        <f>IFERROR(__xludf.DUMMYFUNCTION("""COMPUTED_VALUE"""),"BC-031")</f>
        <v>BC-031</v>
      </c>
      <c r="B32" s="8" t="str">
        <f>IFERROR(__xludf.DUMMYFUNCTION("""COMPUTED_VALUE"""),"pasta_farcida")</f>
        <v>pasta_farcida</v>
      </c>
      <c r="C32" s="8" t="str">
        <f>IFERROR(__xludf.DUMMYFUNCTION("""COMPUTED_VALUE"""),"RISOTTO DE BOLETS")</f>
        <v>RISOTTO DE BOLETS</v>
      </c>
      <c r="D32" s="8" t="str">
        <f>IFERROR(__xludf.DUMMYFUNCTION("""COMPUTED_VALUE"""),"Amb crema de tòfona")</f>
        <v>Amb crema de tòfona</v>
      </c>
      <c r="E32" s="9">
        <f>IFERROR(__xludf.DUMMYFUNCTION("""COMPUTED_VALUE"""),19.0)</f>
        <v>19</v>
      </c>
      <c r="F32" s="8" t="str">
        <f>IFERROR(__xludf.DUMMYFUNCTION("""COMPUTED_VALUE"""),"")</f>
        <v/>
      </c>
    </row>
    <row r="33">
      <c r="A33" s="8" t="str">
        <f>IFERROR(__xludf.DUMMYFUNCTION("""COMPUTED_VALUE"""),"BC-032")</f>
        <v>BC-032</v>
      </c>
      <c r="B33" s="8" t="str">
        <f>IFERROR(__xludf.DUMMYFUNCTION("""COMPUTED_VALUE"""),"pizzes")</f>
        <v>pizzes</v>
      </c>
      <c r="C33" s="8" t="str">
        <f>IFERROR(__xludf.DUMMYFUNCTION("""COMPUTED_VALUE"""),"MARGARITA")</f>
        <v>MARGARITA</v>
      </c>
      <c r="D33" s="8" t="str">
        <f>IFERROR(__xludf.DUMMYFUNCTION("""COMPUTED_VALUE"""),"Tomàquet / mozzarella")</f>
        <v>Tomàquet / mozzarella</v>
      </c>
      <c r="E33" s="9">
        <f>IFERROR(__xludf.DUMMYFUNCTION("""COMPUTED_VALUE"""),12.0)</f>
        <v>12</v>
      </c>
      <c r="F33" s="8" t="str">
        <f>IFERROR(__xludf.DUMMYFUNCTION("""COMPUTED_VALUE"""),"")</f>
        <v/>
      </c>
    </row>
    <row r="34">
      <c r="A34" s="8" t="str">
        <f>IFERROR(__xludf.DUMMYFUNCTION("""COMPUTED_VALUE"""),"BC-033")</f>
        <v>BC-033</v>
      </c>
      <c r="B34" s="8" t="str">
        <f>IFERROR(__xludf.DUMMYFUNCTION("""COMPUTED_VALUE"""),"pizzes")</f>
        <v>pizzes</v>
      </c>
      <c r="C34" s="8" t="str">
        <f>IFERROR(__xludf.DUMMYFUNCTION("""COMPUTED_VALUE"""),"PROSCIUTO")</f>
        <v>PROSCIUTO</v>
      </c>
      <c r="D34" s="8" t="str">
        <f>IFERROR(__xludf.DUMMYFUNCTION("""COMPUTED_VALUE"""),"Tomàquet / mozzarella / pernil dolç")</f>
        <v>Tomàquet / mozzarella / pernil dolç</v>
      </c>
      <c r="E34" s="9">
        <f>IFERROR(__xludf.DUMMYFUNCTION("""COMPUTED_VALUE"""),14.5)</f>
        <v>14.5</v>
      </c>
      <c r="F34" s="8" t="str">
        <f>IFERROR(__xludf.DUMMYFUNCTION("""COMPUTED_VALUE"""),"")</f>
        <v/>
      </c>
    </row>
    <row r="35">
      <c r="A35" s="8" t="str">
        <f>IFERROR(__xludf.DUMMYFUNCTION("""COMPUTED_VALUE"""),"BC-034")</f>
        <v>BC-034</v>
      </c>
      <c r="B35" s="8" t="str">
        <f>IFERROR(__xludf.DUMMYFUNCTION("""COMPUTED_VALUE"""),"pizzes")</f>
        <v>pizzes</v>
      </c>
      <c r="C35" s="8" t="str">
        <f>IFERROR(__xludf.DUMMYFUNCTION("""COMPUTED_VALUE"""),"REGINA")</f>
        <v>REGINA</v>
      </c>
      <c r="D35" s="8" t="str">
        <f>IFERROR(__xludf.DUMMYFUNCTION("""COMPUTED_VALUE"""),"Tomàquet / mozzarella / pernil dolç / xampinyons")</f>
        <v>Tomàquet / mozzarella / pernil dolç / xampinyons</v>
      </c>
      <c r="E35" s="9">
        <f>IFERROR(__xludf.DUMMYFUNCTION("""COMPUTED_VALUE"""),15.0)</f>
        <v>15</v>
      </c>
      <c r="F35" s="8" t="str">
        <f>IFERROR(__xludf.DUMMYFUNCTION("""COMPUTED_VALUE"""),"")</f>
        <v/>
      </c>
    </row>
    <row r="36">
      <c r="A36" s="8" t="str">
        <f>IFERROR(__xludf.DUMMYFUNCTION("""COMPUTED_VALUE"""),"BC-035")</f>
        <v>BC-035</v>
      </c>
      <c r="B36" s="8" t="str">
        <f>IFERROR(__xludf.DUMMYFUNCTION("""COMPUTED_VALUE"""),"pizzes")</f>
        <v>pizzes</v>
      </c>
      <c r="C36" s="8" t="str">
        <f>IFERROR(__xludf.DUMMYFUNCTION("""COMPUTED_VALUE"""),"CALZONE")</f>
        <v>CALZONE</v>
      </c>
      <c r="D36" s="8" t="str">
        <f>IFERROR(__xludf.DUMMYFUNCTION("""COMPUTED_VALUE"""),"Tomàquet / mozzarella / pernil dolç / ou")</f>
        <v>Tomàquet / mozzarella / pernil dolç / ou</v>
      </c>
      <c r="E36" s="9">
        <f>IFERROR(__xludf.DUMMYFUNCTION("""COMPUTED_VALUE"""),17.0)</f>
        <v>17</v>
      </c>
      <c r="F36" s="8" t="str">
        <f>IFERROR(__xludf.DUMMYFUNCTION("""COMPUTED_VALUE"""),"")</f>
        <v/>
      </c>
    </row>
    <row r="37">
      <c r="A37" s="8" t="str">
        <f>IFERROR(__xludf.DUMMYFUNCTION("""COMPUTED_VALUE"""),"BC-036")</f>
        <v>BC-036</v>
      </c>
      <c r="B37" s="8" t="str">
        <f>IFERROR(__xludf.DUMMYFUNCTION("""COMPUTED_VALUE"""),"pizzes")</f>
        <v>pizzes</v>
      </c>
      <c r="C37" s="8" t="str">
        <f>IFERROR(__xludf.DUMMYFUNCTION("""COMPUTED_VALUE"""),"PEPPERONI")</f>
        <v>PEPPERONI</v>
      </c>
      <c r="D37" s="8" t="str">
        <f>IFERROR(__xludf.DUMMYFUNCTION("""COMPUTED_VALUE"""),"Tomàquet / mozzarella / pepperoni / bitxo verd")</f>
        <v>Tomàquet / mozzarella / pepperoni / bitxo verd</v>
      </c>
      <c r="E37" s="9">
        <f>IFERROR(__xludf.DUMMYFUNCTION("""COMPUTED_VALUE"""),15.5)</f>
        <v>15.5</v>
      </c>
      <c r="F37" s="8" t="str">
        <f>IFERROR(__xludf.DUMMYFUNCTION("""COMPUTED_VALUE"""),"")</f>
        <v/>
      </c>
    </row>
    <row r="38">
      <c r="A38" s="8" t="str">
        <f>IFERROR(__xludf.DUMMYFUNCTION("""COMPUTED_VALUE"""),"BC-037")</f>
        <v>BC-037</v>
      </c>
      <c r="B38" s="8" t="str">
        <f>IFERROR(__xludf.DUMMYFUNCTION("""COMPUTED_VALUE"""),"pizzes")</f>
        <v>pizzes</v>
      </c>
      <c r="C38" s="8" t="str">
        <f>IFERROR(__xludf.DUMMYFUNCTION("""COMPUTED_VALUE"""),"CAPRESE")</f>
        <v>CAPRESE</v>
      </c>
      <c r="D38" s="8" t="str">
        <f>IFERROR(__xludf.DUMMYFUNCTION("""COMPUTED_VALUE"""),"Tomàquet / mozzarella fresca / tomàquet sec casolà / alfàbrega")</f>
        <v>Tomàquet / mozzarella fresca / tomàquet sec casolà / alfàbrega</v>
      </c>
      <c r="E38" s="9">
        <f>IFERROR(__xludf.DUMMYFUNCTION("""COMPUTED_VALUE"""),15.5)</f>
        <v>15.5</v>
      </c>
      <c r="F38" s="8" t="str">
        <f>IFERROR(__xludf.DUMMYFUNCTION("""COMPUTED_VALUE"""),"")</f>
        <v/>
      </c>
    </row>
    <row r="39">
      <c r="A39" s="8" t="str">
        <f>IFERROR(__xludf.DUMMYFUNCTION("""COMPUTED_VALUE"""),"BC-038")</f>
        <v>BC-038</v>
      </c>
      <c r="B39" s="8" t="str">
        <f>IFERROR(__xludf.DUMMYFUNCTION("""COMPUTED_VALUE"""),"pizzes")</f>
        <v>pizzes</v>
      </c>
      <c r="C39" s="8" t="str">
        <f>IFERROR(__xludf.DUMMYFUNCTION("""COMPUTED_VALUE"""),"GAMBES")</f>
        <v>GAMBES</v>
      </c>
      <c r="D39" s="8" t="str">
        <f>IFERROR(__xludf.DUMMYFUNCTION("""COMPUTED_VALUE"""),"Tomàquet / mozzarella / gambes / all-julivert / oli")</f>
        <v>Tomàquet / mozzarella / gambes / all-julivert / oli</v>
      </c>
      <c r="E39" s="9">
        <f>IFERROR(__xludf.DUMMYFUNCTION("""COMPUTED_VALUE"""),18.0)</f>
        <v>18</v>
      </c>
      <c r="F39" s="8" t="str">
        <f>IFERROR(__xludf.DUMMYFUNCTION("""COMPUTED_VALUE"""),"")</f>
        <v/>
      </c>
    </row>
    <row r="40">
      <c r="A40" s="8" t="str">
        <f>IFERROR(__xludf.DUMMYFUNCTION("""COMPUTED_VALUE"""),"BC-039")</f>
        <v>BC-039</v>
      </c>
      <c r="B40" s="8" t="str">
        <f>IFERROR(__xludf.DUMMYFUNCTION("""COMPUTED_VALUE"""),"pizzes")</f>
        <v>pizzes</v>
      </c>
      <c r="C40" s="8" t="str">
        <f>IFERROR(__xludf.DUMMYFUNCTION("""COMPUTED_VALUE"""),"IBÉRICA")</f>
        <v>IBÉRICA</v>
      </c>
      <c r="D40" s="8" t="str">
        <f>IFERROR(__xludf.DUMMYFUNCTION("""COMPUTED_VALUE"""),"Tomàquet / mozzarella / pernil ibèric / parmesà / ruca")</f>
        <v>Tomàquet / mozzarella / pernil ibèric / parmesà / ruca</v>
      </c>
      <c r="E40" s="9">
        <f>IFERROR(__xludf.DUMMYFUNCTION("""COMPUTED_VALUE"""),18.5)</f>
        <v>18.5</v>
      </c>
      <c r="F40" s="8" t="str">
        <f>IFERROR(__xludf.DUMMYFUNCTION("""COMPUTED_VALUE"""),"")</f>
        <v/>
      </c>
    </row>
    <row r="41">
      <c r="A41" s="8" t="str">
        <f>IFERROR(__xludf.DUMMYFUNCTION("""COMPUTED_VALUE"""),"BC-040")</f>
        <v>BC-040</v>
      </c>
      <c r="B41" s="8" t="str">
        <f>IFERROR(__xludf.DUMMYFUNCTION("""COMPUTED_VALUE"""),"pizzes")</f>
        <v>pizzes</v>
      </c>
      <c r="C41" s="8" t="str">
        <f>IFERROR(__xludf.DUMMYFUNCTION("""COMPUTED_VALUE"""),"4 ESTACIONS")</f>
        <v>4 ESTACIONS</v>
      </c>
      <c r="D41" s="8" t="str">
        <f>IFERROR(__xludf.DUMMYFUNCTION("""COMPUTED_VALUE"""),"Tomàquet / mozzarella / pernil dolç / xampinyons / carxofes / olives")</f>
        <v>Tomàquet / mozzarella / pernil dolç / xampinyons / carxofes / olives</v>
      </c>
      <c r="E41" s="9">
        <f>IFERROR(__xludf.DUMMYFUNCTION("""COMPUTED_VALUE"""),16.0)</f>
        <v>16</v>
      </c>
      <c r="F41" s="8" t="str">
        <f>IFERROR(__xludf.DUMMYFUNCTION("""COMPUTED_VALUE"""),"")</f>
        <v/>
      </c>
    </row>
    <row r="42">
      <c r="A42" s="8" t="str">
        <f>IFERROR(__xludf.DUMMYFUNCTION("""COMPUTED_VALUE"""),"BC-041")</f>
        <v>BC-041</v>
      </c>
      <c r="B42" s="8" t="str">
        <f>IFERROR(__xludf.DUMMYFUNCTION("""COMPUTED_VALUE"""),"pizzes")</f>
        <v>pizzes</v>
      </c>
      <c r="C42" s="8" t="str">
        <f>IFERROR(__xludf.DUMMYFUNCTION("""COMPUTED_VALUE"""),"BELLA CIAO")</f>
        <v>BELLA CIAO</v>
      </c>
      <c r="D42" s="8" t="str">
        <f>IFERROR(__xludf.DUMMYFUNCTION("""COMPUTED_VALUE"""),"Tomàquet / mozzarella / bologna / burrata / vinagreta de pistatxo")</f>
        <v>Tomàquet / mozzarella / bologna / burrata / vinagreta de pistatxo</v>
      </c>
      <c r="E42" s="9">
        <f>IFERROR(__xludf.DUMMYFUNCTION("""COMPUTED_VALUE"""),17.5)</f>
        <v>17.5</v>
      </c>
      <c r="F42" s="8" t="str">
        <f>IFERROR(__xludf.DUMMYFUNCTION("""COMPUTED_VALUE"""),"")</f>
        <v/>
      </c>
    </row>
    <row r="43">
      <c r="A43" s="8" t="str">
        <f>IFERROR(__xludf.DUMMYFUNCTION("""COMPUTED_VALUE"""),"BC-042")</f>
        <v>BC-042</v>
      </c>
      <c r="B43" s="8" t="str">
        <f>IFERROR(__xludf.DUMMYFUNCTION("""COMPUTED_VALUE"""),"pizzes")</f>
        <v>pizzes</v>
      </c>
      <c r="C43" s="8" t="str">
        <f>IFERROR(__xludf.DUMMYFUNCTION("""COMPUTED_VALUE"""),"ITALIANA")</f>
        <v>ITALIANA</v>
      </c>
      <c r="D43" s="8" t="str">
        <f>IFERROR(__xludf.DUMMYFUNCTION("""COMPUTED_VALUE"""),"Tomàquet / ruca / mozzarella / cherry / burrata / salsa pesto")</f>
        <v>Tomàquet / ruca / mozzarella / cherry / burrata / salsa pesto</v>
      </c>
      <c r="E43" s="9">
        <f>IFERROR(__xludf.DUMMYFUNCTION("""COMPUTED_VALUE"""),18.0)</f>
        <v>18</v>
      </c>
      <c r="F43" s="8" t="str">
        <f>IFERROR(__xludf.DUMMYFUNCTION("""COMPUTED_VALUE"""),"")</f>
        <v/>
      </c>
    </row>
    <row r="44">
      <c r="A44" s="8" t="str">
        <f>IFERROR(__xludf.DUMMYFUNCTION("""COMPUTED_VALUE"""),"BC-043")</f>
        <v>BC-043</v>
      </c>
      <c r="B44" s="8" t="str">
        <f>IFERROR(__xludf.DUMMYFUNCTION("""COMPUTED_VALUE"""),"pizzes")</f>
        <v>pizzes</v>
      </c>
      <c r="C44" s="8" t="str">
        <f>IFERROR(__xludf.DUMMYFUNCTION("""COMPUTED_VALUE"""),"VEGETARIANA")</f>
        <v>VEGETARIANA</v>
      </c>
      <c r="D44" s="8" t="str">
        <f>IFERROR(__xludf.DUMMYFUNCTION("""COMPUTED_VALUE"""),"Tomàquet / mozzarella / pebrot / carxofes / xampinyons / ceba")</f>
        <v>Tomàquet / mozzarella / pebrot / carxofes / xampinyons / ceba</v>
      </c>
      <c r="E44" s="9">
        <f>IFERROR(__xludf.DUMMYFUNCTION("""COMPUTED_VALUE"""),16.5)</f>
        <v>16.5</v>
      </c>
      <c r="F44" s="8" t="str">
        <f>IFERROR(__xludf.DUMMYFUNCTION("""COMPUTED_VALUE"""),"")</f>
        <v/>
      </c>
    </row>
    <row r="45">
      <c r="A45" s="8" t="str">
        <f>IFERROR(__xludf.DUMMYFUNCTION("""COMPUTED_VALUE"""),"BC-044")</f>
        <v>BC-044</v>
      </c>
      <c r="B45" s="8" t="str">
        <f>IFERROR(__xludf.DUMMYFUNCTION("""COMPUTED_VALUE"""),"pizzes_blanques")</f>
        <v>pizzes_blanques</v>
      </c>
      <c r="C45" s="8" t="str">
        <f>IFERROR(__xludf.DUMMYFUNCTION("""COMPUTED_VALUE"""),"TARTUFATA")</f>
        <v>TARTUFATA</v>
      </c>
      <c r="D45" s="8" t="str">
        <f>IFERROR(__xludf.DUMMYFUNCTION("""COMPUTED_VALUE"""),"Mozzarella / crema de tòfona / romaní / parmesà")</f>
        <v>Mozzarella / crema de tòfona / romaní / parmesà</v>
      </c>
      <c r="E45" s="9">
        <f>IFERROR(__xludf.DUMMYFUNCTION("""COMPUTED_VALUE"""),15.5)</f>
        <v>15.5</v>
      </c>
      <c r="F45" s="8" t="str">
        <f>IFERROR(__xludf.DUMMYFUNCTION("""COMPUTED_VALUE"""),"")</f>
        <v/>
      </c>
    </row>
    <row r="46">
      <c r="A46" s="8" t="str">
        <f>IFERROR(__xludf.DUMMYFUNCTION("""COMPUTED_VALUE"""),"BC-045")</f>
        <v>BC-045</v>
      </c>
      <c r="B46" s="8" t="str">
        <f>IFERROR(__xludf.DUMMYFUNCTION("""COMPUTED_VALUE"""),"pizzes_blanques")</f>
        <v>pizzes_blanques</v>
      </c>
      <c r="C46" s="8" t="str">
        <f>IFERROR(__xludf.DUMMYFUNCTION("""COMPUTED_VALUE"""),"5 FORMATGES")</f>
        <v>5 FORMATGES</v>
      </c>
      <c r="D46" s="8" t="str">
        <f>IFERROR(__xludf.DUMMYFUNCTION("""COMPUTED_VALUE"""),"Mozzarella / cabra / emmental / roquefort / parmesà")</f>
        <v>Mozzarella / cabra / emmental / roquefort / parmesà</v>
      </c>
      <c r="E46" s="9">
        <f>IFERROR(__xludf.DUMMYFUNCTION("""COMPUTED_VALUE"""),16.5)</f>
        <v>16.5</v>
      </c>
      <c r="F46" s="8" t="str">
        <f>IFERROR(__xludf.DUMMYFUNCTION("""COMPUTED_VALUE"""),"")</f>
        <v/>
      </c>
    </row>
    <row r="47">
      <c r="A47" s="8" t="str">
        <f>IFERROR(__xludf.DUMMYFUNCTION("""COMPUTED_VALUE"""),"BC-046")</f>
        <v>BC-046</v>
      </c>
      <c r="B47" s="8" t="str">
        <f>IFERROR(__xludf.DUMMYFUNCTION("""COMPUTED_VALUE"""),"pizzes_blanques")</f>
        <v>pizzes_blanques</v>
      </c>
      <c r="C47" s="8" t="str">
        <f>IFERROR(__xludf.DUMMYFUNCTION("""COMPUTED_VALUE"""),"FOCACCIA TONNO")</f>
        <v>FOCACCIA TONNO</v>
      </c>
      <c r="D47" s="8" t="str">
        <f>IFERROR(__xludf.DUMMYFUNCTION("""COMPUTED_VALUE"""),"Mozzarella / maionesa / tonyina / tomàquet / ceba / ruca")</f>
        <v>Mozzarella / maionesa / tonyina / tomàquet / ceba / ruca</v>
      </c>
      <c r="E47" s="9">
        <f>IFERROR(__xludf.DUMMYFUNCTION("""COMPUTED_VALUE"""),18.0)</f>
        <v>18</v>
      </c>
      <c r="F47" s="8" t="str">
        <f>IFERROR(__xludf.DUMMYFUNCTION("""COMPUTED_VALUE"""),"")</f>
        <v/>
      </c>
    </row>
    <row r="48">
      <c r="A48" s="8" t="str">
        <f>IFERROR(__xludf.DUMMYFUNCTION("""COMPUTED_VALUE"""),"BC-047")</f>
        <v>BC-047</v>
      </c>
      <c r="B48" s="8" t="str">
        <f>IFERROR(__xludf.DUMMYFUNCTION("""COMPUTED_VALUE"""),"pizzes_blanques")</f>
        <v>pizzes_blanques</v>
      </c>
      <c r="C48" s="8" t="str">
        <f>IFERROR(__xludf.DUMMYFUNCTION("""COMPUTED_VALUE"""),"CARBONARA")</f>
        <v>CARBONARA</v>
      </c>
      <c r="D48" s="8" t="str">
        <f>IFERROR(__xludf.DUMMYFUNCTION("""COMPUTED_VALUE"""),"Mozzarella / nata / guanciale / ceba / ou / parmesà")</f>
        <v>Mozzarella / nata / guanciale / ceba / ou / parmesà</v>
      </c>
      <c r="E48" s="9">
        <f>IFERROR(__xludf.DUMMYFUNCTION("""COMPUTED_VALUE"""),16.0)</f>
        <v>16</v>
      </c>
      <c r="F48" s="8" t="str">
        <f>IFERROR(__xludf.DUMMYFUNCTION("""COMPUTED_VALUE"""),"")</f>
        <v/>
      </c>
    </row>
    <row r="49">
      <c r="A49" s="8" t="str">
        <f>IFERROR(__xludf.DUMMYFUNCTION("""COMPUTED_VALUE"""),"BC-048")</f>
        <v>BC-048</v>
      </c>
      <c r="B49" s="8" t="str">
        <f>IFERROR(__xludf.DUMMYFUNCTION("""COMPUTED_VALUE"""),"postres")</f>
        <v>postres</v>
      </c>
      <c r="C49" s="8" t="str">
        <f>IFERROR(__xludf.DUMMYFUNCTION("""COMPUTED_VALUE"""),"TIRAMISÚ CLÀSSIC")</f>
        <v>TIRAMISÚ CLÀSSIC</v>
      </c>
      <c r="D49" s="8" t="str">
        <f>IFERROR(__xludf.DUMMYFUNCTION("""COMPUTED_VALUE"""),"")</f>
        <v/>
      </c>
      <c r="E49" s="9">
        <f>IFERROR(__xludf.DUMMYFUNCTION("""COMPUTED_VALUE"""),7.0)</f>
        <v>7</v>
      </c>
      <c r="F49" s="8" t="str">
        <f>IFERROR(__xludf.DUMMYFUNCTION("""COMPUTED_VALUE"""),"")</f>
        <v/>
      </c>
    </row>
    <row r="50">
      <c r="A50" s="8" t="str">
        <f>IFERROR(__xludf.DUMMYFUNCTION("""COMPUTED_VALUE"""),"BC-049")</f>
        <v>BC-049</v>
      </c>
      <c r="B50" s="8" t="str">
        <f>IFERROR(__xludf.DUMMYFUNCTION("""COMPUTED_VALUE"""),"postres")</f>
        <v>postres</v>
      </c>
      <c r="C50" s="8" t="str">
        <f>IFERROR(__xludf.DUMMYFUNCTION("""COMPUTED_VALUE"""),"TIRAMISÚ DE FESTUCS")</f>
        <v>TIRAMISÚ DE FESTUCS</v>
      </c>
      <c r="D50" s="8" t="str">
        <f>IFERROR(__xludf.DUMMYFUNCTION("""COMPUTED_VALUE"""),"")</f>
        <v/>
      </c>
      <c r="E50" s="9">
        <f>IFERROR(__xludf.DUMMYFUNCTION("""COMPUTED_VALUE"""),8.0)</f>
        <v>8</v>
      </c>
      <c r="F50" s="8" t="str">
        <f>IFERROR(__xludf.DUMMYFUNCTION("""COMPUTED_VALUE"""),"")</f>
        <v/>
      </c>
    </row>
    <row r="51">
      <c r="A51" s="8" t="str">
        <f>IFERROR(__xludf.DUMMYFUNCTION("""COMPUTED_VALUE"""),"BC-050")</f>
        <v>BC-050</v>
      </c>
      <c r="B51" s="8" t="str">
        <f>IFERROR(__xludf.DUMMYFUNCTION("""COMPUTED_VALUE"""),"postres")</f>
        <v>postres</v>
      </c>
      <c r="C51" s="8" t="str">
        <f>IFERROR(__xludf.DUMMYFUNCTION("""COMPUTED_VALUE"""),"GELAT ARTESANAL")</f>
        <v>GELAT ARTESANAL</v>
      </c>
      <c r="D51" s="8" t="str">
        <f>IFERROR(__xludf.DUMMYFUNCTION("""COMPUTED_VALUE"""),"")</f>
        <v/>
      </c>
      <c r="E51" s="9">
        <f>IFERROR(__xludf.DUMMYFUNCTION("""COMPUTED_VALUE"""),5.0)</f>
        <v>5</v>
      </c>
      <c r="F51" s="8" t="str">
        <f>IFERROR(__xludf.DUMMYFUNCTION("""COMPUTED_VALUE"""),"")</f>
        <v/>
      </c>
    </row>
    <row r="52">
      <c r="A52" s="8" t="str">
        <f>IFERROR(__xludf.DUMMYFUNCTION("""COMPUTED_VALUE"""),"BC-051")</f>
        <v>BC-051</v>
      </c>
      <c r="B52" s="8" t="str">
        <f>IFERROR(__xludf.DUMMYFUNCTION("""COMPUTED_VALUE"""),"postres")</f>
        <v>postres</v>
      </c>
      <c r="C52" s="8" t="str">
        <f>IFERROR(__xludf.DUMMYFUNCTION("""COMPUTED_VALUE"""),"PANNA COTTA")</f>
        <v>PANNA COTTA</v>
      </c>
      <c r="D52" s="8" t="str">
        <f>IFERROR(__xludf.DUMMYFUNCTION("""COMPUTED_VALUE"""),"De romaní amb ginebra i préssec")</f>
        <v>De romaní amb ginebra i préssec</v>
      </c>
      <c r="E52" s="9">
        <f>IFERROR(__xludf.DUMMYFUNCTION("""COMPUTED_VALUE"""),6.5)</f>
        <v>6.5</v>
      </c>
      <c r="F52" s="8" t="str">
        <f>IFERROR(__xludf.DUMMYFUNCTION("""COMPUTED_VALUE"""),"")</f>
        <v/>
      </c>
    </row>
    <row r="53">
      <c r="A53" s="8" t="str">
        <f>IFERROR(__xludf.DUMMYFUNCTION("""COMPUTED_VALUE"""),"BC-052")</f>
        <v>BC-052</v>
      </c>
      <c r="B53" s="8" t="str">
        <f>IFERROR(__xludf.DUMMYFUNCTION("""COMPUTED_VALUE"""),"postres")</f>
        <v>postres</v>
      </c>
      <c r="C53" s="8" t="str">
        <f>IFERROR(__xludf.DUMMYFUNCTION("""COMPUTED_VALUE"""),"COULANT DE XOCOLATA")</f>
        <v>COULANT DE XOCOLATA</v>
      </c>
      <c r="D53" s="8" t="str">
        <f>IFERROR(__xludf.DUMMYFUNCTION("""COMPUTED_VALUE"""),"")</f>
        <v/>
      </c>
      <c r="E53" s="9">
        <f>IFERROR(__xludf.DUMMYFUNCTION("""COMPUTED_VALUE"""),5.0)</f>
        <v>5</v>
      </c>
      <c r="F53" s="8" t="str">
        <f>IFERROR(__xludf.DUMMYFUNCTION("""COMPUTED_VALUE"""),"")</f>
        <v/>
      </c>
    </row>
    <row r="54">
      <c r="A54" s="8" t="str">
        <f>IFERROR(__xludf.DUMMYFUNCTION("""COMPUTED_VALUE"""),"BC-053")</f>
        <v>BC-053</v>
      </c>
      <c r="B54" s="8" t="str">
        <f>IFERROR(__xludf.DUMMYFUNCTION("""COMPUTED_VALUE"""),"postres")</f>
        <v>postres</v>
      </c>
      <c r="C54" s="8" t="str">
        <f>IFERROR(__xludf.DUMMYFUNCTION("""COMPUTED_VALUE"""),"MADUIXES AL PEBRE")</f>
        <v>MADUIXES AL PEBRE</v>
      </c>
      <c r="D54" s="8" t="str">
        <f>IFERROR(__xludf.DUMMYFUNCTION("""COMPUTED_VALUE"""),"")</f>
        <v/>
      </c>
      <c r="E54" s="9">
        <f>IFERROR(__xludf.DUMMYFUNCTION("""COMPUTED_VALUE"""),12.5)</f>
        <v>12.5</v>
      </c>
      <c r="F54" s="8" t="str">
        <f>IFERROR(__xludf.DUMMYFUNCTION("""COMPUTED_VALUE"""),"")</f>
        <v/>
      </c>
    </row>
    <row r="55">
      <c r="A55" s="8" t="str">
        <f>IFERROR(__xludf.DUMMYFUNCTION("""COMPUTED_VALUE"""),"BC-054")</f>
        <v>BC-054</v>
      </c>
      <c r="B55" s="8" t="str">
        <f>IFERROR(__xludf.DUMMYFUNCTION("""COMPUTED_VALUE"""),"postres")</f>
        <v>postres</v>
      </c>
      <c r="C55" s="8" t="str">
        <f>IFERROR(__xludf.DUMMYFUNCTION("""COMPUTED_VALUE"""),"CALZONE DOLÇA")</f>
        <v>CALZONE DOLÇA</v>
      </c>
      <c r="D55" s="8" t="str">
        <f>IFERROR(__xludf.DUMMYFUNCTION("""COMPUTED_VALUE"""),"")</f>
        <v/>
      </c>
      <c r="E55" s="9">
        <f>IFERROR(__xludf.DUMMYFUNCTION("""COMPUTED_VALUE"""),10.0)</f>
        <v>10</v>
      </c>
      <c r="F55" s="8" t="str">
        <f>IFERROR(__xludf.DUMMYFUNCTION("""COMPUTED_VALUE"""),"")</f>
        <v/>
      </c>
    </row>
    <row r="56">
      <c r="A56" s="8" t="str">
        <f>IFERROR(__xludf.DUMMYFUNCTION("""COMPUTED_VALUE"""),"BC-055")</f>
        <v>BC-055</v>
      </c>
      <c r="B56" s="8" t="str">
        <f>IFERROR(__xludf.DUMMYFUNCTION("""COMPUTED_VALUE"""),"postres")</f>
        <v>postres</v>
      </c>
      <c r="C56" s="8" t="str">
        <f>IFERROR(__xludf.DUMMYFUNCTION("""COMPUTED_VALUE"""),"AFFOGATO SENSE AMARETO")</f>
        <v>AFFOGATO SENSE AMARETO</v>
      </c>
      <c r="D56" s="8" t="str">
        <f>IFERROR(__xludf.DUMMYFUNCTION("""COMPUTED_VALUE"""),"")</f>
        <v/>
      </c>
      <c r="E56" s="9">
        <f>IFERROR(__xludf.DUMMYFUNCTION("""COMPUTED_VALUE"""),6.5)</f>
        <v>6.5</v>
      </c>
      <c r="F56" s="8" t="str">
        <f>IFERROR(__xludf.DUMMYFUNCTION("""COMPUTED_VALUE"""),"")</f>
        <v/>
      </c>
    </row>
    <row r="57">
      <c r="A57" s="8" t="str">
        <f>IFERROR(__xludf.DUMMYFUNCTION("""COMPUTED_VALUE"""),"BC-056")</f>
        <v>BC-056</v>
      </c>
      <c r="B57" s="8" t="str">
        <f>IFERROR(__xludf.DUMMYFUNCTION("""COMPUTED_VALUE"""),"postres")</f>
        <v>postres</v>
      </c>
      <c r="C57" s="8" t="str">
        <f>IFERROR(__xludf.DUMMYFUNCTION("""COMPUTED_VALUE"""),"AFFOGATO AMB AMARETTO")</f>
        <v>AFFOGATO AMB AMARETTO</v>
      </c>
      <c r="D57" s="8" t="str">
        <f>IFERROR(__xludf.DUMMYFUNCTION("""COMPUTED_VALUE"""),"")</f>
        <v/>
      </c>
      <c r="E57" s="9">
        <f>IFERROR(__xludf.DUMMYFUNCTION("""COMPUTED_VALUE"""),8.5)</f>
        <v>8.5</v>
      </c>
      <c r="F57" s="8" t="str">
        <f>IFERROR(__xludf.DUMMYFUNCTION("""COMPUTED_VALUE"""),"")</f>
        <v/>
      </c>
    </row>
    <row r="58">
      <c r="A58" s="8" t="str">
        <f>IFERROR(__xludf.DUMMYFUNCTION("""COMPUTED_VALUE"""),"BC-057")</f>
        <v>BC-057</v>
      </c>
      <c r="B58" s="8" t="str">
        <f>IFERROR(__xludf.DUMMYFUNCTION("""COMPUTED_VALUE"""),"cafe_te")</f>
        <v>cafe_te</v>
      </c>
      <c r="C58" s="8" t="str">
        <f>IFERROR(__xludf.DUMMYFUNCTION("""COMPUTED_VALUE"""),"CAFÈ SOL")</f>
        <v>CAFÈ SOL</v>
      </c>
      <c r="D58" s="8" t="str">
        <f>IFERROR(__xludf.DUMMYFUNCTION("""COMPUTED_VALUE"""),"")</f>
        <v/>
      </c>
      <c r="E58" s="9">
        <f>IFERROR(__xludf.DUMMYFUNCTION("""COMPUTED_VALUE"""),1.5)</f>
        <v>1.5</v>
      </c>
      <c r="F58" s="8" t="str">
        <f>IFERROR(__xludf.DUMMYFUNCTION("""COMPUTED_VALUE"""),"")</f>
        <v/>
      </c>
    </row>
    <row r="59">
      <c r="A59" s="8" t="str">
        <f>IFERROR(__xludf.DUMMYFUNCTION("""COMPUTED_VALUE"""),"BC-058")</f>
        <v>BC-058</v>
      </c>
      <c r="B59" s="8" t="str">
        <f>IFERROR(__xludf.DUMMYFUNCTION("""COMPUTED_VALUE"""),"cafe_te")</f>
        <v>cafe_te</v>
      </c>
      <c r="C59" s="8" t="str">
        <f>IFERROR(__xludf.DUMMYFUNCTION("""COMPUTED_VALUE"""),"ESPRESSO DOBLE")</f>
        <v>ESPRESSO DOBLE</v>
      </c>
      <c r="D59" s="8" t="str">
        <f>IFERROR(__xludf.DUMMYFUNCTION("""COMPUTED_VALUE"""),"")</f>
        <v/>
      </c>
      <c r="E59" s="9">
        <f>IFERROR(__xludf.DUMMYFUNCTION("""COMPUTED_VALUE"""),2.0)</f>
        <v>2</v>
      </c>
      <c r="F59" s="8" t="str">
        <f>IFERROR(__xludf.DUMMYFUNCTION("""COMPUTED_VALUE"""),"")</f>
        <v/>
      </c>
    </row>
    <row r="60">
      <c r="A60" s="8" t="str">
        <f>IFERROR(__xludf.DUMMYFUNCTION("""COMPUTED_VALUE"""),"BC-059")</f>
        <v>BC-059</v>
      </c>
      <c r="B60" s="8" t="str">
        <f>IFERROR(__xludf.DUMMYFUNCTION("""COMPUTED_VALUE"""),"cafe_te")</f>
        <v>cafe_te</v>
      </c>
      <c r="C60" s="8" t="str">
        <f>IFERROR(__xludf.DUMMYFUNCTION("""COMPUTED_VALUE"""),"CAFÈ AMB LLET")</f>
        <v>CAFÈ AMB LLET</v>
      </c>
      <c r="D60" s="8" t="str">
        <f>IFERROR(__xludf.DUMMYFUNCTION("""COMPUTED_VALUE"""),"")</f>
        <v/>
      </c>
      <c r="E60" s="9">
        <f>IFERROR(__xludf.DUMMYFUNCTION("""COMPUTED_VALUE"""),1.8)</f>
        <v>1.8</v>
      </c>
      <c r="F60" s="8" t="str">
        <f>IFERROR(__xludf.DUMMYFUNCTION("""COMPUTED_VALUE"""),"")</f>
        <v/>
      </c>
    </row>
    <row r="61">
      <c r="A61" s="8" t="str">
        <f>IFERROR(__xludf.DUMMYFUNCTION("""COMPUTED_VALUE"""),"BC-060")</f>
        <v>BC-060</v>
      </c>
      <c r="B61" s="8" t="str">
        <f>IFERROR(__xludf.DUMMYFUNCTION("""COMPUTED_VALUE"""),"cafe_te")</f>
        <v>cafe_te</v>
      </c>
      <c r="C61" s="8" t="str">
        <f>IFERROR(__xludf.DUMMYFUNCTION("""COMPUTED_VALUE"""),"AMERICÀ / TALLAT")</f>
        <v>AMERICÀ / TALLAT</v>
      </c>
      <c r="D61" s="8" t="str">
        <f>IFERROR(__xludf.DUMMYFUNCTION("""COMPUTED_VALUE"""),"")</f>
        <v/>
      </c>
      <c r="E61" s="9">
        <f>IFERROR(__xludf.DUMMYFUNCTION("""COMPUTED_VALUE"""),2.0)</f>
        <v>2</v>
      </c>
      <c r="F61" s="8" t="str">
        <f>IFERROR(__xludf.DUMMYFUNCTION("""COMPUTED_VALUE"""),"")</f>
        <v/>
      </c>
    </row>
    <row r="62">
      <c r="A62" s="8" t="str">
        <f>IFERROR(__xludf.DUMMYFUNCTION("""COMPUTED_VALUE"""),"BC-061")</f>
        <v>BC-061</v>
      </c>
      <c r="B62" s="8" t="str">
        <f>IFERROR(__xludf.DUMMYFUNCTION("""COMPUTED_VALUE"""),"cafe_te")</f>
        <v>cafe_te</v>
      </c>
      <c r="C62" s="8" t="str">
        <f>IFERROR(__xludf.DUMMYFUNCTION("""COMPUTED_VALUE"""),"CAPPUCCINO")</f>
        <v>CAPPUCCINO</v>
      </c>
      <c r="D62" s="8" t="str">
        <f>IFERROR(__xludf.DUMMYFUNCTION("""COMPUTED_VALUE"""),"")</f>
        <v/>
      </c>
      <c r="E62" s="9">
        <f>IFERROR(__xludf.DUMMYFUNCTION("""COMPUTED_VALUE"""),2.2)</f>
        <v>2.2</v>
      </c>
      <c r="F62" s="8" t="str">
        <f>IFERROR(__xludf.DUMMYFUNCTION("""COMPUTED_VALUE"""),"")</f>
        <v/>
      </c>
    </row>
    <row r="63">
      <c r="A63" s="8" t="str">
        <f>IFERROR(__xludf.DUMMYFUNCTION("""COMPUTED_VALUE"""),"BC-062")</f>
        <v>BC-062</v>
      </c>
      <c r="B63" s="8" t="str">
        <f>IFERROR(__xludf.DUMMYFUNCTION("""COMPUTED_VALUE"""),"cafe_te")</f>
        <v>cafe_te</v>
      </c>
      <c r="C63" s="8" t="str">
        <f>IFERROR(__xludf.DUMMYFUNCTION("""COMPUTED_VALUE"""),"AMERICÀ AMB GEL")</f>
        <v>AMERICÀ AMB GEL</v>
      </c>
      <c r="D63" s="8" t="str">
        <f>IFERROR(__xludf.DUMMYFUNCTION("""COMPUTED_VALUE"""),"")</f>
        <v/>
      </c>
      <c r="E63" s="9">
        <f>IFERROR(__xludf.DUMMYFUNCTION("""COMPUTED_VALUE"""),2.25)</f>
        <v>2.25</v>
      </c>
      <c r="F63" s="8" t="str">
        <f>IFERROR(__xludf.DUMMYFUNCTION("""COMPUTED_VALUE"""),"")</f>
        <v/>
      </c>
    </row>
    <row r="64">
      <c r="A64" s="8" t="str">
        <f>IFERROR(__xludf.DUMMYFUNCTION("""COMPUTED_VALUE"""),"BC-063")</f>
        <v>BC-063</v>
      </c>
      <c r="B64" s="8" t="str">
        <f>IFERROR(__xludf.DUMMYFUNCTION("""COMPUTED_VALUE"""),"cafe_te")</f>
        <v>cafe_te</v>
      </c>
      <c r="C64" s="8" t="str">
        <f>IFERROR(__xludf.DUMMYFUNCTION("""COMPUTED_VALUE"""),"CIGALÓ")</f>
        <v>CIGALÓ</v>
      </c>
      <c r="D64" s="8" t="str">
        <f>IFERROR(__xludf.DUMMYFUNCTION("""COMPUTED_VALUE"""),"")</f>
        <v/>
      </c>
      <c r="E64" s="9">
        <f>IFERROR(__xludf.DUMMYFUNCTION("""COMPUTED_VALUE"""),3.0)</f>
        <v>3</v>
      </c>
      <c r="F64" s="8" t="str">
        <f>IFERROR(__xludf.DUMMYFUNCTION("""COMPUTED_VALUE"""),"")</f>
        <v/>
      </c>
    </row>
    <row r="65">
      <c r="A65" s="8" t="str">
        <f>IFERROR(__xludf.DUMMYFUNCTION("""COMPUTED_VALUE"""),"BC-064")</f>
        <v>BC-064</v>
      </c>
      <c r="B65" s="8" t="str">
        <f>IFERROR(__xludf.DUMMYFUNCTION("""COMPUTED_VALUE"""),"cafe_te")</f>
        <v>cafe_te</v>
      </c>
      <c r="C65" s="8" t="str">
        <f>IFERROR(__xludf.DUMMYFUNCTION("""COMPUTED_VALUE"""),"TRIFÀSIC")</f>
        <v>TRIFÀSIC</v>
      </c>
      <c r="D65" s="8" t="str">
        <f>IFERROR(__xludf.DUMMYFUNCTION("""COMPUTED_VALUE"""),"")</f>
        <v/>
      </c>
      <c r="E65" s="9">
        <f>IFERROR(__xludf.DUMMYFUNCTION("""COMPUTED_VALUE"""),3.0)</f>
        <v>3</v>
      </c>
      <c r="F65" s="8" t="str">
        <f>IFERROR(__xludf.DUMMYFUNCTION("""COMPUTED_VALUE"""),"")</f>
        <v/>
      </c>
    </row>
    <row r="66">
      <c r="A66" s="8" t="str">
        <f>IFERROR(__xludf.DUMMYFUNCTION("""COMPUTED_VALUE"""),"BC-065")</f>
        <v>BC-065</v>
      </c>
      <c r="B66" s="8" t="str">
        <f>IFERROR(__xludf.DUMMYFUNCTION("""COMPUTED_VALUE"""),"cafe_te")</f>
        <v>cafe_te</v>
      </c>
      <c r="C66" s="8" t="str">
        <f>IFERROR(__xludf.DUMMYFUNCTION("""COMPUTED_VALUE"""),"CAFÈ IRLANDÈS")</f>
        <v>CAFÈ IRLANDÈS</v>
      </c>
      <c r="D66" s="8" t="str">
        <f>IFERROR(__xludf.DUMMYFUNCTION("""COMPUTED_VALUE"""),"")</f>
        <v/>
      </c>
      <c r="E66" s="9">
        <f>IFERROR(__xludf.DUMMYFUNCTION("""COMPUTED_VALUE"""),7.0)</f>
        <v>7</v>
      </c>
      <c r="F66" s="8" t="str">
        <f>IFERROR(__xludf.DUMMYFUNCTION("""COMPUTED_VALUE"""),"")</f>
        <v/>
      </c>
    </row>
    <row r="67">
      <c r="A67" s="8" t="str">
        <f>IFERROR(__xludf.DUMMYFUNCTION("""COMPUTED_VALUE"""),"BC-066")</f>
        <v>BC-066</v>
      </c>
      <c r="B67" s="8" t="str">
        <f>IFERROR(__xludf.DUMMYFUNCTION("""COMPUTED_VALUE"""),"cafe_te")</f>
        <v>cafe_te</v>
      </c>
      <c r="C67" s="8" t="str">
        <f>IFERROR(__xludf.DUMMYFUNCTION("""COMPUTED_VALUE"""),"INFUSIONS DAMMANN")</f>
        <v>INFUSIONS DAMMANN</v>
      </c>
      <c r="D67" s="8" t="str">
        <f>IFERROR(__xludf.DUMMYFUNCTION("""COMPUTED_VALUE"""),"Te negre / te verd / camamilla")</f>
        <v>Te negre / te verd / camamilla</v>
      </c>
      <c r="E67" s="9">
        <f>IFERROR(__xludf.DUMMYFUNCTION("""COMPUTED_VALUE"""),2.0)</f>
        <v>2</v>
      </c>
      <c r="F67" s="8" t="str">
        <f>IFERROR(__xludf.DUMMYFUNCTION("""COMPUTED_VALUE"""),"")</f>
        <v/>
      </c>
    </row>
    <row r="68">
      <c r="A68" s="8" t="str">
        <f>IFERROR(__xludf.DUMMYFUNCTION("""COMPUTED_VALUE"""),"BC-067")</f>
        <v>BC-067</v>
      </c>
      <c r="B68" s="8" t="str">
        <f>IFERROR(__xludf.DUMMYFUNCTION("""COMPUTED_VALUE"""),"begudes")</f>
        <v>begudes</v>
      </c>
      <c r="C68" s="8" t="str">
        <f>IFERROR(__xludf.DUMMYFUNCTION("""COMPUTED_VALUE"""),"REFRESCOS")</f>
        <v>REFRESCOS</v>
      </c>
      <c r="D68" s="8" t="str">
        <f>IFERROR(__xludf.DUMMYFUNCTION("""COMPUTED_VALUE"""),"Coca-Cola / Fanta / Cola Zero / Nestea / Aquarius")</f>
        <v>Coca-Cola / Fanta / Cola Zero / Nestea / Aquarius</v>
      </c>
      <c r="E68" s="9">
        <f>IFERROR(__xludf.DUMMYFUNCTION("""COMPUTED_VALUE"""),3.0)</f>
        <v>3</v>
      </c>
      <c r="F68" s="8" t="str">
        <f>IFERROR(__xludf.DUMMYFUNCTION("""COMPUTED_VALUE"""),"")</f>
        <v/>
      </c>
    </row>
    <row r="69">
      <c r="A69" s="8" t="str">
        <f>IFERROR(__xludf.DUMMYFUNCTION("""COMPUTED_VALUE"""),"BC-068")</f>
        <v>BC-068</v>
      </c>
      <c r="B69" s="8" t="str">
        <f>IFERROR(__xludf.DUMMYFUNCTION("""COMPUTED_VALUE"""),"begudes")</f>
        <v>begudes</v>
      </c>
      <c r="C69" s="8" t="str">
        <f>IFERROR(__xludf.DUMMYFUNCTION("""COMPUTED_VALUE"""),"TÒNICA")</f>
        <v>TÒNICA</v>
      </c>
      <c r="D69" s="8" t="str">
        <f>IFERROR(__xludf.DUMMYFUNCTION("""COMPUTED_VALUE"""),"")</f>
        <v/>
      </c>
      <c r="E69" s="9">
        <f>IFERROR(__xludf.DUMMYFUNCTION("""COMPUTED_VALUE"""),2.5)</f>
        <v>2.5</v>
      </c>
      <c r="F69" s="8" t="str">
        <f>IFERROR(__xludf.DUMMYFUNCTION("""COMPUTED_VALUE"""),"")</f>
        <v/>
      </c>
    </row>
    <row r="70">
      <c r="A70" s="8" t="str">
        <f>IFERROR(__xludf.DUMMYFUNCTION("""COMPUTED_VALUE"""),"BC-069")</f>
        <v>BC-069</v>
      </c>
      <c r="B70" s="8" t="str">
        <f>IFERROR(__xludf.DUMMYFUNCTION("""COMPUTED_VALUE"""),"begudes")</f>
        <v>begudes</v>
      </c>
      <c r="C70" s="8" t="str">
        <f>IFERROR(__xludf.DUMMYFUNCTION("""COMPUTED_VALUE"""),"BITTER KAS")</f>
        <v>BITTER KAS</v>
      </c>
      <c r="D70" s="8" t="str">
        <f>IFERROR(__xludf.DUMMYFUNCTION("""COMPUTED_VALUE"""),"")</f>
        <v/>
      </c>
      <c r="E70" s="9">
        <f>IFERROR(__xludf.DUMMYFUNCTION("""COMPUTED_VALUE"""),2.5)</f>
        <v>2.5</v>
      </c>
      <c r="F70" s="8" t="str">
        <f>IFERROR(__xludf.DUMMYFUNCTION("""COMPUTED_VALUE"""),"")</f>
        <v/>
      </c>
    </row>
    <row r="71">
      <c r="A71" s="8" t="str">
        <f>IFERROR(__xludf.DUMMYFUNCTION("""COMPUTED_VALUE"""),"BC-070")</f>
        <v>BC-070</v>
      </c>
      <c r="B71" s="8" t="str">
        <f>IFERROR(__xludf.DUMMYFUNCTION("""COMPUTED_VALUE"""),"begudes")</f>
        <v>begudes</v>
      </c>
      <c r="C71" s="8" t="str">
        <f>IFERROR(__xludf.DUMMYFUNCTION("""COMPUTED_VALUE"""),"SOLAN DE CABRAS")</f>
        <v>SOLAN DE CABRAS</v>
      </c>
      <c r="D71" s="8" t="str">
        <f>IFERROR(__xludf.DUMMYFUNCTION("""COMPUTED_VALUE"""),"")</f>
        <v/>
      </c>
      <c r="E71" s="9">
        <f>IFERROR(__xludf.DUMMYFUNCTION("""COMPUTED_VALUE"""),2.5)</f>
        <v>2.5</v>
      </c>
      <c r="F71" s="8" t="str">
        <f>IFERROR(__xludf.DUMMYFUNCTION("""COMPUTED_VALUE"""),"")</f>
        <v/>
      </c>
    </row>
    <row r="72">
      <c r="A72" s="8" t="str">
        <f>IFERROR(__xludf.DUMMYFUNCTION("""COMPUTED_VALUE"""),"BC-071")</f>
        <v>BC-071</v>
      </c>
      <c r="B72" s="8" t="str">
        <f>IFERROR(__xludf.DUMMYFUNCTION("""COMPUTED_VALUE"""),"begudes")</f>
        <v>begudes</v>
      </c>
      <c r="C72" s="8" t="str">
        <f>IFERROR(__xludf.DUMMYFUNCTION("""COMPUTED_VALUE"""),"VICHY CATALAN")</f>
        <v>VICHY CATALAN</v>
      </c>
      <c r="D72" s="8" t="str">
        <f>IFERROR(__xludf.DUMMYFUNCTION("""COMPUTED_VALUE"""),"")</f>
        <v/>
      </c>
      <c r="E72" s="9">
        <f>IFERROR(__xludf.DUMMYFUNCTION("""COMPUTED_VALUE"""),2.5)</f>
        <v>2.5</v>
      </c>
      <c r="F72" s="8" t="str">
        <f>IFERROR(__xludf.DUMMYFUNCTION("""COMPUTED_VALUE"""),"")</f>
        <v/>
      </c>
    </row>
    <row r="73">
      <c r="A73" s="8" t="str">
        <f>IFERROR(__xludf.DUMMYFUNCTION("""COMPUTED_VALUE"""),"BC-072")</f>
        <v>BC-072</v>
      </c>
      <c r="B73" s="8" t="str">
        <f>IFERROR(__xludf.DUMMYFUNCTION("""COMPUTED_VALUE"""),"begudes")</f>
        <v>begudes</v>
      </c>
      <c r="C73" s="8" t="str">
        <f>IFERROR(__xludf.DUMMYFUNCTION("""COMPUTED_VALUE"""),"AIGUA S. PELLEGRINO")</f>
        <v>AIGUA S. PELLEGRINO</v>
      </c>
      <c r="D73" s="8" t="str">
        <f>IFERROR(__xludf.DUMMYFUNCTION("""COMPUTED_VALUE"""),"")</f>
        <v/>
      </c>
      <c r="E73" s="9">
        <f>IFERROR(__xludf.DUMMYFUNCTION("""COMPUTED_VALUE"""),4.0)</f>
        <v>4</v>
      </c>
      <c r="F73" s="8" t="str">
        <f>IFERROR(__xludf.DUMMYFUNCTION("""COMPUTED_VALUE"""),"")</f>
        <v/>
      </c>
    </row>
    <row r="74">
      <c r="A74" s="8" t="str">
        <f>IFERROR(__xludf.DUMMYFUNCTION("""COMPUTED_VALUE"""),"BC-073")</f>
        <v>BC-073</v>
      </c>
      <c r="B74" s="8" t="str">
        <f>IFERROR(__xludf.DUMMYFUNCTION("""COMPUTED_VALUE"""),"alcohol")</f>
        <v>alcohol</v>
      </c>
      <c r="C74" s="8" t="str">
        <f>IFERROR(__xludf.DUMMYFUNCTION("""COMPUTED_VALUE"""),"XOPET")</f>
        <v>XOPET</v>
      </c>
      <c r="D74" s="8" t="str">
        <f>IFERROR(__xludf.DUMMYFUNCTION("""COMPUTED_VALUE"""),"Herbes / limoncello")</f>
        <v>Herbes / limoncello</v>
      </c>
      <c r="E74" s="9">
        <f>IFERROR(__xludf.DUMMYFUNCTION("""COMPUTED_VALUE"""),2.0)</f>
        <v>2</v>
      </c>
      <c r="F74" s="8" t="str">
        <f>IFERROR(__xludf.DUMMYFUNCTION("""COMPUTED_VALUE"""),"")</f>
        <v/>
      </c>
    </row>
    <row r="75">
      <c r="A75" s="8" t="str">
        <f>IFERROR(__xludf.DUMMYFUNCTION("""COMPUTED_VALUE"""),"BC-074")</f>
        <v>BC-074</v>
      </c>
      <c r="B75" s="8" t="str">
        <f>IFERROR(__xludf.DUMMYFUNCTION("""COMPUTED_VALUE"""),"alcohol")</f>
        <v>alcohol</v>
      </c>
      <c r="C75" s="8" t="str">
        <f>IFERROR(__xludf.DUMMYFUNCTION("""COMPUTED_VALUE"""),"MARTINI / VERMUT")</f>
        <v>MARTINI / VERMUT</v>
      </c>
      <c r="D75" s="8" t="str">
        <f>IFERROR(__xludf.DUMMYFUNCTION("""COMPUTED_VALUE"""),"Blanc / rosso")</f>
        <v>Blanc / rosso</v>
      </c>
      <c r="E75" s="9">
        <f>IFERROR(__xludf.DUMMYFUNCTION("""COMPUTED_VALUE"""),4.5)</f>
        <v>4.5</v>
      </c>
      <c r="F75" s="8" t="str">
        <f>IFERROR(__xludf.DUMMYFUNCTION("""COMPUTED_VALUE"""),"")</f>
        <v/>
      </c>
    </row>
    <row r="76">
      <c r="A76" s="8" t="str">
        <f>IFERROR(__xludf.DUMMYFUNCTION("""COMPUTED_VALUE"""),"BC-075")</f>
        <v>BC-075</v>
      </c>
      <c r="B76" s="8" t="str">
        <f>IFERROR(__xludf.DUMMYFUNCTION("""COMPUTED_VALUE"""),"alcohol")</f>
        <v>alcohol</v>
      </c>
      <c r="C76" s="8" t="str">
        <f>IFERROR(__xludf.DUMMYFUNCTION("""COMPUTED_VALUE"""),"BAILEYS")</f>
        <v>BAILEYS</v>
      </c>
      <c r="D76" s="8" t="str">
        <f>IFERROR(__xludf.DUMMYFUNCTION("""COMPUTED_VALUE"""),"")</f>
        <v/>
      </c>
      <c r="E76" s="9">
        <f>IFERROR(__xludf.DUMMYFUNCTION("""COMPUTED_VALUE"""),5.25)</f>
        <v>5.25</v>
      </c>
      <c r="F76" s="8" t="str">
        <f>IFERROR(__xludf.DUMMYFUNCTION("""COMPUTED_VALUE"""),"")</f>
        <v/>
      </c>
    </row>
    <row r="77">
      <c r="A77" s="8" t="str">
        <f>IFERROR(__xludf.DUMMYFUNCTION("""COMPUTED_VALUE"""),"BC-076")</f>
        <v>BC-076</v>
      </c>
      <c r="B77" s="8" t="str">
        <f>IFERROR(__xludf.DUMMYFUNCTION("""COMPUTED_VALUE"""),"alcohol")</f>
        <v>alcohol</v>
      </c>
      <c r="C77" s="8" t="str">
        <f>IFERROR(__xludf.DUMMYFUNCTION("""COMPUTED_VALUE"""),"ROM")</f>
        <v>ROM</v>
      </c>
      <c r="D77" s="8" t="str">
        <f>IFERROR(__xludf.DUMMYFUNCTION("""COMPUTED_VALUE"""),"")</f>
        <v/>
      </c>
      <c r="E77" s="9">
        <f>IFERROR(__xludf.DUMMYFUNCTION("""COMPUTED_VALUE"""),5.0)</f>
        <v>5</v>
      </c>
      <c r="F77" s="8" t="str">
        <f>IFERROR(__xludf.DUMMYFUNCTION("""COMPUTED_VALUE"""),"")</f>
        <v/>
      </c>
    </row>
    <row r="78">
      <c r="A78" s="8" t="str">
        <f>IFERROR(__xludf.DUMMYFUNCTION("""COMPUTED_VALUE"""),"BC-077")</f>
        <v>BC-077</v>
      </c>
      <c r="B78" s="8" t="str">
        <f>IFERROR(__xludf.DUMMYFUNCTION("""COMPUTED_VALUE"""),"alcohol")</f>
        <v>alcohol</v>
      </c>
      <c r="C78" s="8" t="str">
        <f>IFERROR(__xludf.DUMMYFUNCTION("""COMPUTED_VALUE"""),"WHISKY")</f>
        <v>WHISKY</v>
      </c>
      <c r="D78" s="8" t="str">
        <f>IFERROR(__xludf.DUMMYFUNCTION("""COMPUTED_VALUE"""),"J&amp;B / Jameson / Jack Daniel’s")</f>
        <v>J&amp;B / Jameson / Jack Daniel’s</v>
      </c>
      <c r="E78" s="9">
        <f>IFERROR(__xludf.DUMMYFUNCTION("""COMPUTED_VALUE"""),0.0)</f>
        <v>0</v>
      </c>
      <c r="F78" s="8" t="str">
        <f>IFERROR(__xludf.DUMMYFUNCTION("""COMPUTED_VALUE"""),"")</f>
        <v/>
      </c>
    </row>
    <row r="79">
      <c r="A79" s="8" t="str">
        <f>IFERROR(__xludf.DUMMYFUNCTION("""COMPUTED_VALUE"""),"BC-078")</f>
        <v>BC-078</v>
      </c>
      <c r="B79" s="8" t="str">
        <f>IFERROR(__xludf.DUMMYFUNCTION("""COMPUTED_VALUE"""),"alcohol")</f>
        <v>alcohol</v>
      </c>
      <c r="C79" s="8" t="str">
        <f>IFERROR(__xludf.DUMMYFUNCTION("""COMPUTED_VALUE"""),"CAMPARI")</f>
        <v>CAMPARI</v>
      </c>
      <c r="D79" s="8" t="str">
        <f>IFERROR(__xludf.DUMMYFUNCTION("""COMPUTED_VALUE"""),"")</f>
        <v/>
      </c>
      <c r="E79" s="9">
        <f>IFERROR(__xludf.DUMMYFUNCTION("""COMPUTED_VALUE"""),5.0)</f>
        <v>5</v>
      </c>
      <c r="F79" s="8" t="str">
        <f>IFERROR(__xludf.DUMMYFUNCTION("""COMPUTED_VALUE"""),"")</f>
        <v/>
      </c>
    </row>
    <row r="80">
      <c r="A80" s="8" t="str">
        <f>IFERROR(__xludf.DUMMYFUNCTION("""COMPUTED_VALUE"""),"BC-079")</f>
        <v>BC-079</v>
      </c>
      <c r="B80" s="8" t="str">
        <f>IFERROR(__xludf.DUMMYFUNCTION("""COMPUTED_VALUE"""),"alcohol")</f>
        <v>alcohol</v>
      </c>
      <c r="C80" s="8" t="str">
        <f>IFERROR(__xludf.DUMMYFUNCTION("""COMPUTED_VALUE"""),"CARAMOL")</f>
        <v>CARAMOL</v>
      </c>
      <c r="D80" s="8" t="str">
        <f>IFERROR(__xludf.DUMMYFUNCTION("""COMPUTED_VALUE"""),"")</f>
        <v/>
      </c>
      <c r="E80" s="9">
        <f>IFERROR(__xludf.DUMMYFUNCTION("""COMPUTED_VALUE"""),5.25)</f>
        <v>5.25</v>
      </c>
      <c r="F80" s="8" t="str">
        <f>IFERROR(__xludf.DUMMYFUNCTION("""COMPUTED_VALUE"""),"")</f>
        <v/>
      </c>
    </row>
    <row r="81">
      <c r="A81" s="8" t="str">
        <f>IFERROR(__xludf.DUMMYFUNCTION("""COMPUTED_VALUE"""),"BC-080")</f>
        <v>BC-080</v>
      </c>
      <c r="B81" s="8" t="str">
        <f>IFERROR(__xludf.DUMMYFUNCTION("""COMPUTED_VALUE"""),"alcohol")</f>
        <v>alcohol</v>
      </c>
      <c r="C81" s="8" t="str">
        <f>IFERROR(__xludf.DUMMYFUNCTION("""COMPUTED_VALUE"""),"VODKA")</f>
        <v>VODKA</v>
      </c>
      <c r="D81" s="8" t="str">
        <f>IFERROR(__xludf.DUMMYFUNCTION("""COMPUTED_VALUE"""),"Absolut / Grey Goose")</f>
        <v>Absolut / Grey Goose</v>
      </c>
      <c r="E81" s="9">
        <f>IFERROR(__xludf.DUMMYFUNCTION("""COMPUTED_VALUE"""),0.0)</f>
        <v>0</v>
      </c>
      <c r="F81" s="8" t="str">
        <f>IFERROR(__xludf.DUMMYFUNCTION("""COMPUTED_VALUE"""),"")</f>
        <v/>
      </c>
    </row>
    <row r="82">
      <c r="A82" s="8" t="str">
        <f>IFERROR(__xludf.DUMMYFUNCTION("""COMPUTED_VALUE"""),"BC-081")</f>
        <v>BC-081</v>
      </c>
      <c r="B82" s="8" t="str">
        <f>IFERROR(__xludf.DUMMYFUNCTION("""COMPUTED_VALUE"""),"coctels")</f>
        <v>coctels</v>
      </c>
      <c r="C82" s="8" t="str">
        <f>IFERROR(__xludf.DUMMYFUNCTION("""COMPUTED_VALUE"""),"KIRSCH BELLA CIAO")</f>
        <v>KIRSCH BELLA CIAO</v>
      </c>
      <c r="D82" s="8" t="str">
        <f>IFERROR(__xludf.DUMMYFUNCTION("""COMPUTED_VALUE"""),"Caramol / cava")</f>
        <v>Caramol / cava</v>
      </c>
      <c r="E82" s="9">
        <f>IFERROR(__xludf.DUMMYFUNCTION("""COMPUTED_VALUE"""),6.0)</f>
        <v>6</v>
      </c>
      <c r="F82" s="8" t="str">
        <f>IFERROR(__xludf.DUMMYFUNCTION("""COMPUTED_VALUE"""),"")</f>
        <v/>
      </c>
    </row>
    <row r="83">
      <c r="A83" s="8" t="str">
        <f>IFERROR(__xludf.DUMMYFUNCTION("""COMPUTED_VALUE"""),"BC-082")</f>
        <v>BC-082</v>
      </c>
      <c r="B83" s="8" t="str">
        <f>IFERROR(__xludf.DUMMYFUNCTION("""COMPUTED_VALUE"""),"coctels")</f>
        <v>coctels</v>
      </c>
      <c r="C83" s="8" t="str">
        <f>IFERROR(__xludf.DUMMYFUNCTION("""COMPUTED_VALUE"""),"CUBATA")</f>
        <v>CUBATA</v>
      </c>
      <c r="D83" s="8" t="str">
        <f>IFERROR(__xludf.DUMMYFUNCTION("""COMPUTED_VALUE"""),"Alcohol / refresc")</f>
        <v>Alcohol / refresc</v>
      </c>
      <c r="E83" s="9">
        <f>IFERROR(__xludf.DUMMYFUNCTION("""COMPUTED_VALUE"""),7.0)</f>
        <v>7</v>
      </c>
      <c r="F83" s="8" t="str">
        <f>IFERROR(__xludf.DUMMYFUNCTION("""COMPUTED_VALUE"""),"")</f>
        <v/>
      </c>
    </row>
    <row r="84">
      <c r="A84" s="8" t="str">
        <f>IFERROR(__xludf.DUMMYFUNCTION("""COMPUTED_VALUE"""),"BC-083")</f>
        <v>BC-083</v>
      </c>
      <c r="B84" s="8" t="str">
        <f>IFERROR(__xludf.DUMMYFUNCTION("""COMPUTED_VALUE"""),"coctels")</f>
        <v>coctels</v>
      </c>
      <c r="C84" s="8" t="str">
        <f>IFERROR(__xludf.DUMMYFUNCTION("""COMPUTED_VALUE"""),"APEROL SPRITZ")</f>
        <v>APEROL SPRITZ</v>
      </c>
      <c r="D84" s="8" t="str">
        <f>IFERROR(__xludf.DUMMYFUNCTION("""COMPUTED_VALUE"""),"Aperol / cava / aigua amb gas")</f>
        <v>Aperol / cava / aigua amb gas</v>
      </c>
      <c r="E84" s="9">
        <f>IFERROR(__xludf.DUMMYFUNCTION("""COMPUTED_VALUE"""),9.0)</f>
        <v>9</v>
      </c>
      <c r="F84" s="8" t="str">
        <f>IFERROR(__xludf.DUMMYFUNCTION("""COMPUTED_VALUE"""),"")</f>
        <v/>
      </c>
    </row>
    <row r="85">
      <c r="A85" s="8" t="str">
        <f>IFERROR(__xludf.DUMMYFUNCTION("""COMPUTED_VALUE"""),"BC-084")</f>
        <v>BC-084</v>
      </c>
      <c r="B85" s="8" t="str">
        <f>IFERROR(__xludf.DUMMYFUNCTION("""COMPUTED_VALUE"""),"coctels")</f>
        <v>coctels</v>
      </c>
      <c r="C85" s="8" t="str">
        <f>IFERROR(__xludf.DUMMYFUNCTION("""COMPUTED_VALUE"""),"GIN-TÒNIC")</f>
        <v>GIN-TÒNIC</v>
      </c>
      <c r="D85" s="8" t="str">
        <f>IFERROR(__xludf.DUMMYFUNCTION("""COMPUTED_VALUE"""),"Hendrick’s / Floraison / Bombay Sapphire")</f>
        <v>Hendrick’s / Floraison / Bombay Sapphire</v>
      </c>
      <c r="E85" s="9">
        <f>IFERROR(__xludf.DUMMYFUNCTION("""COMPUTED_VALUE"""),0.0)</f>
        <v>0</v>
      </c>
      <c r="F85" s="8" t="str">
        <f>IFERROR(__xludf.DUMMYFUNCTION("""COMPUTED_VALUE"""),"")</f>
        <v/>
      </c>
    </row>
    <row r="86">
      <c r="A86" s="8" t="str">
        <f>IFERROR(__xludf.DUMMYFUNCTION("""COMPUTED_VALUE"""),"BC-085")</f>
        <v>BC-085</v>
      </c>
      <c r="B86" s="8" t="str">
        <f>IFERROR(__xludf.DUMMYFUNCTION("""COMPUTED_VALUE"""),"cerveses")</f>
        <v>cerveses</v>
      </c>
      <c r="C86" s="8" t="str">
        <f>IFERROR(__xludf.DUMMYFUNCTION("""COMPUTED_VALUE"""),"LAGER ESTRELLA ANDORRA")</f>
        <v>LAGER ESTRELLA ANDORRA</v>
      </c>
      <c r="D86" s="8" t="str">
        <f>IFERROR(__xludf.DUMMYFUNCTION("""COMPUTED_VALUE"""),"Cervesa clara i refrescant, de malta suau i final net. Alc. 4,5 %.")</f>
        <v>Cervesa clara i refrescant, de malta suau i final net. Alc. 4,5 %.</v>
      </c>
      <c r="E86" s="9">
        <f>IFERROR(__xludf.DUMMYFUNCTION("""COMPUTED_VALUE"""),3.6)</f>
        <v>3.6</v>
      </c>
      <c r="F86" s="8" t="str">
        <f>IFERROR(__xludf.DUMMYFUNCTION("""COMPUTED_VALUE"""),"")</f>
        <v/>
      </c>
    </row>
    <row r="87">
      <c r="A87" s="8" t="str">
        <f>IFERROR(__xludf.DUMMYFUNCTION("""COMPUTED_VALUE"""),"BC-086")</f>
        <v>BC-086</v>
      </c>
      <c r="B87" s="8" t="str">
        <f>IFERROR(__xludf.DUMMYFUNCTION("""COMPUTED_VALUE"""),"cerveses")</f>
        <v>cerveses</v>
      </c>
      <c r="C87" s="8" t="str">
        <f>IFERROR(__xludf.DUMMYFUNCTION("""COMPUTED_VALUE"""),"TORRADA ANDBEER")</f>
        <v>TORRADA ANDBEER</v>
      </c>
      <c r="D87" s="8" t="str">
        <f>IFERROR(__xludf.DUMMYFUNCTION("""COMPUTED_VALUE"""),"Cos ple, malta torrada amb aromes de pa negre i lleugers tocs de cafè. Alc. 6,3 %.")</f>
        <v>Cos ple, malta torrada amb aromes de pa negre i lleugers tocs de cafè. Alc. 6,3 %.</v>
      </c>
      <c r="E87" s="9">
        <f>IFERROR(__xludf.DUMMYFUNCTION("""COMPUTED_VALUE"""),3.6)</f>
        <v>3.6</v>
      </c>
      <c r="F87" s="8" t="str">
        <f>IFERROR(__xludf.DUMMYFUNCTION("""COMPUTED_VALUE"""),"")</f>
        <v/>
      </c>
    </row>
    <row r="88">
      <c r="A88" s="8" t="str">
        <f>IFERROR(__xludf.DUMMYFUNCTION("""COMPUTED_VALUE"""),"BC-087")</f>
        <v>BC-087</v>
      </c>
      <c r="B88" s="8" t="str">
        <f>IFERROR(__xludf.DUMMYFUNCTION("""COMPUTED_VALUE"""),"cerveses")</f>
        <v>cerveses</v>
      </c>
      <c r="C88" s="8" t="str">
        <f>IFERROR(__xludf.DUMMYFUNCTION("""COMPUTED_VALUE"""),"AMBER ALE ANDBEER")</f>
        <v>AMBER ALE ANDBEER</v>
      </c>
      <c r="D88" s="8" t="str">
        <f>IFERROR(__xludf.DUMMYFUNCTION("""COMPUTED_VALUE"""),"Color coure, amb notes de caramel i malta torrada, equilibrada amb el llúpol. Alc. 6,3 %.")</f>
        <v>Color coure, amb notes de caramel i malta torrada, equilibrada amb el llúpol. Alc. 6,3 %.</v>
      </c>
      <c r="E88" s="9">
        <f>IFERROR(__xludf.DUMMYFUNCTION("""COMPUTED_VALUE"""),3.6)</f>
        <v>3.6</v>
      </c>
      <c r="F88" s="8" t="str">
        <f>IFERROR(__xludf.DUMMYFUNCTION("""COMPUTED_VALUE"""),"")</f>
        <v/>
      </c>
    </row>
    <row r="89">
      <c r="A89" s="8" t="str">
        <f>IFERROR(__xludf.DUMMYFUNCTION("""COMPUTED_VALUE"""),"BC-088")</f>
        <v>BC-088</v>
      </c>
      <c r="B89" s="8" t="str">
        <f>IFERROR(__xludf.DUMMYFUNCTION("""COMPUTED_VALUE"""),"cerveses")</f>
        <v>cerveses</v>
      </c>
      <c r="C89" s="8" t="str">
        <f>IFERROR(__xludf.DUMMYFUNCTION("""COMPUTED_VALUE"""),"IPA DE MUNTANYA ANDBEER")</f>
        <v>IPA DE MUNTANYA ANDBEER</v>
      </c>
      <c r="D89" s="8" t="str">
        <f>IFERROR(__xludf.DUMMYFUNCTION("""COMPUTED_VALUE"""),"IPA aromàtica amb notes de pi i fruita tropical, cos mitjà i final amarg. Alc. 7,1 %.")</f>
        <v>IPA aromàtica amb notes de pi i fruita tropical, cos mitjà i final amarg. Alc. 7,1 %.</v>
      </c>
      <c r="E89" s="9">
        <f>IFERROR(__xludf.DUMMYFUNCTION("""COMPUTED_VALUE"""),4.0)</f>
        <v>4</v>
      </c>
      <c r="F89" s="8" t="str">
        <f>IFERROR(__xludf.DUMMYFUNCTION("""COMPUTED_VALUE"""),"")</f>
        <v/>
      </c>
    </row>
    <row r="90">
      <c r="A90" s="8" t="str">
        <f>IFERROR(__xludf.DUMMYFUNCTION("""COMPUTED_VALUE"""),"BC-089")</f>
        <v>BC-089</v>
      </c>
      <c r="B90" s="8" t="str">
        <f>IFERROR(__xludf.DUMMYFUNCTION("""COMPUTED_VALUE"""),"cerveses")</f>
        <v>cerveses</v>
      </c>
      <c r="C90" s="8" t="str">
        <f>IFERROR(__xludf.DUMMYFUNCTION("""COMPUTED_VALUE"""),"CANYA")</f>
        <v>CANYA</v>
      </c>
      <c r="D90" s="8" t="str">
        <f>IFERROR(__xludf.DUMMYFUNCTION("""COMPUTED_VALUE"""),"0,33 l")</f>
        <v>0,33 l</v>
      </c>
      <c r="E90" s="9">
        <f>IFERROR(__xludf.DUMMYFUNCTION("""COMPUTED_VALUE"""),3.1)</f>
        <v>3.1</v>
      </c>
      <c r="F90" s="8" t="str">
        <f>IFERROR(__xludf.DUMMYFUNCTION("""COMPUTED_VALUE"""),"")</f>
        <v/>
      </c>
    </row>
    <row r="91">
      <c r="A91" s="8" t="str">
        <f>IFERROR(__xludf.DUMMYFUNCTION("""COMPUTED_VALUE"""),"BC-090")</f>
        <v>BC-090</v>
      </c>
      <c r="B91" s="8" t="str">
        <f>IFERROR(__xludf.DUMMYFUNCTION("""COMPUTED_VALUE"""),"cerveses")</f>
        <v>cerveses</v>
      </c>
      <c r="C91" s="8" t="str">
        <f>IFERROR(__xludf.DUMMYFUNCTION("""COMPUTED_VALUE"""),"JARRA")</f>
        <v>JARRA</v>
      </c>
      <c r="D91" s="8" t="str">
        <f>IFERROR(__xludf.DUMMYFUNCTION("""COMPUTED_VALUE"""),"0,5 l")</f>
        <v>0,5 l</v>
      </c>
      <c r="E91" s="9">
        <f>IFERROR(__xludf.DUMMYFUNCTION("""COMPUTED_VALUE"""),4.0)</f>
        <v>4</v>
      </c>
      <c r="F91" s="8" t="str">
        <f>IFERROR(__xludf.DUMMYFUNCTION("""COMPUTED_VALUE"""),"")</f>
        <v/>
      </c>
    </row>
    <row r="92">
      <c r="A92" s="8" t="str">
        <f>IFERROR(__xludf.DUMMYFUNCTION("""COMPUTED_VALUE"""),"BC-SUP-001")</f>
        <v>BC-SUP-001</v>
      </c>
      <c r="B92" s="8" t="str">
        <f>IFERROR(__xludf.DUMMYFUNCTION("""COMPUTED_VALUE"""),"suplements")</f>
        <v>suplements</v>
      </c>
      <c r="C92" s="8" t="str">
        <f>IFERROR(__xludf.DUMMYFUNCTION("""COMPUTED_VALUE"""),"PERNIL DOLÇ")</f>
        <v>PERNIL DOLÇ</v>
      </c>
      <c r="D92" s="8" t="str">
        <f>IFERROR(__xludf.DUMMYFUNCTION("""COMPUTED_VALUE"""),"")</f>
        <v/>
      </c>
      <c r="E92" s="9">
        <f>IFERROR(__xludf.DUMMYFUNCTION("""COMPUTED_VALUE"""),3.0)</f>
        <v>3</v>
      </c>
      <c r="F92" s="8" t="str">
        <f>IFERROR(__xludf.DUMMYFUNCTION("""COMPUTED_VALUE"""),"")</f>
        <v/>
      </c>
    </row>
    <row r="93">
      <c r="A93" s="8" t="str">
        <f>IFERROR(__xludf.DUMMYFUNCTION("""COMPUTED_VALUE"""),"BC-SUP-002")</f>
        <v>BC-SUP-002</v>
      </c>
      <c r="B93" s="8" t="str">
        <f>IFERROR(__xludf.DUMMYFUNCTION("""COMPUTED_VALUE"""),"suplements")</f>
        <v>suplements</v>
      </c>
      <c r="C93" s="8" t="str">
        <f>IFERROR(__xludf.DUMMYFUNCTION("""COMPUTED_VALUE"""),"MOZZARELLA")</f>
        <v>MOZZARELLA</v>
      </c>
      <c r="D93" s="8" t="str">
        <f>IFERROR(__xludf.DUMMYFUNCTION("""COMPUTED_VALUE"""),"")</f>
        <v/>
      </c>
      <c r="E93" s="9">
        <f>IFERROR(__xludf.DUMMYFUNCTION("""COMPUTED_VALUE"""),3.0)</f>
        <v>3</v>
      </c>
      <c r="F93" s="8" t="str">
        <f>IFERROR(__xludf.DUMMYFUNCTION("""COMPUTED_VALUE"""),"")</f>
        <v/>
      </c>
    </row>
    <row r="94">
      <c r="A94" s="8" t="str">
        <f>IFERROR(__xludf.DUMMYFUNCTION("""COMPUTED_VALUE"""),"BC-SUP-003")</f>
        <v>BC-SUP-003</v>
      </c>
      <c r="B94" s="8" t="str">
        <f>IFERROR(__xludf.DUMMYFUNCTION("""COMPUTED_VALUE"""),"suplements")</f>
        <v>suplements</v>
      </c>
      <c r="C94" s="8" t="str">
        <f>IFERROR(__xludf.DUMMYFUNCTION("""COMPUTED_VALUE"""),"ANXOVES")</f>
        <v>ANXOVES</v>
      </c>
      <c r="D94" s="8" t="str">
        <f>IFERROR(__xludf.DUMMYFUNCTION("""COMPUTED_VALUE"""),"6 unitats")</f>
        <v>6 unitats</v>
      </c>
      <c r="E94" s="9">
        <f>IFERROR(__xludf.DUMMYFUNCTION("""COMPUTED_VALUE"""),4.5)</f>
        <v>4.5</v>
      </c>
      <c r="F94" s="8" t="str">
        <f>IFERROR(__xludf.DUMMYFUNCTION("""COMPUTED_VALUE"""),"")</f>
        <v/>
      </c>
    </row>
    <row r="95">
      <c r="A95" s="8" t="str">
        <f>IFERROR(__xludf.DUMMYFUNCTION("""COMPUTED_VALUE"""),"BC-SUP-004")</f>
        <v>BC-SUP-004</v>
      </c>
      <c r="B95" s="8" t="str">
        <f>IFERROR(__xludf.DUMMYFUNCTION("""COMPUTED_VALUE"""),"suplements")</f>
        <v>suplements</v>
      </c>
      <c r="C95" s="8" t="str">
        <f>IFERROR(__xludf.DUMMYFUNCTION("""COMPUTED_VALUE"""),"CHAMPIGNON")</f>
        <v>CHAMPIGNON</v>
      </c>
      <c r="D95" s="8" t="str">
        <f>IFERROR(__xludf.DUMMYFUNCTION("""COMPUTED_VALUE"""),"")</f>
        <v/>
      </c>
      <c r="E95" s="9">
        <f>IFERROR(__xludf.DUMMYFUNCTION("""COMPUTED_VALUE"""),2.25)</f>
        <v>2.25</v>
      </c>
      <c r="F95" s="8" t="str">
        <f>IFERROR(__xludf.DUMMYFUNCTION("""COMPUTED_VALUE"""),"")</f>
        <v/>
      </c>
    </row>
    <row r="96">
      <c r="A96" s="8" t="str">
        <f>IFERROR(__xludf.DUMMYFUNCTION("""COMPUTED_VALUE"""),"BC-SUP-005")</f>
        <v>BC-SUP-005</v>
      </c>
      <c r="B96" s="8" t="str">
        <f>IFERROR(__xludf.DUMMYFUNCTION("""COMPUTED_VALUE"""),"suplements")</f>
        <v>suplements</v>
      </c>
      <c r="C96" s="8" t="str">
        <f>IFERROR(__xludf.DUMMYFUNCTION("""COMPUTED_VALUE"""),"CARXOFA")</f>
        <v>CARXOFA</v>
      </c>
      <c r="D96" s="8" t="str">
        <f>IFERROR(__xludf.DUMMYFUNCTION("""COMPUTED_VALUE"""),"")</f>
        <v/>
      </c>
      <c r="E96" s="9">
        <f>IFERROR(__xludf.DUMMYFUNCTION("""COMPUTED_VALUE"""),2.25)</f>
        <v>2.25</v>
      </c>
      <c r="F96" s="8" t="str">
        <f>IFERROR(__xludf.DUMMYFUNCTION("""COMPUTED_VALUE"""),"")</f>
        <v/>
      </c>
    </row>
    <row r="97">
      <c r="A97" s="8" t="str">
        <f>IFERROR(__xludf.DUMMYFUNCTION("""COMPUTED_VALUE"""),"BC-SUP-006")</f>
        <v>BC-SUP-006</v>
      </c>
      <c r="B97" s="8" t="str">
        <f>IFERROR(__xludf.DUMMYFUNCTION("""COMPUTED_VALUE"""),"suplements")</f>
        <v>suplements</v>
      </c>
      <c r="C97" s="8" t="str">
        <f>IFERROR(__xludf.DUMMYFUNCTION("""COMPUTED_VALUE"""),"TONYINA")</f>
        <v>TONYINA</v>
      </c>
      <c r="D97" s="8" t="str">
        <f>IFERROR(__xludf.DUMMYFUNCTION("""COMPUTED_VALUE"""),"")</f>
        <v/>
      </c>
      <c r="E97" s="9">
        <f>IFERROR(__xludf.DUMMYFUNCTION("""COMPUTED_VALUE"""),3.5)</f>
        <v>3.5</v>
      </c>
      <c r="F97" s="8" t="str">
        <f>IFERROR(__xludf.DUMMYFUNCTION("""COMPUTED_VALUE"""),"")</f>
        <v/>
      </c>
    </row>
    <row r="98">
      <c r="A98" s="8" t="str">
        <f>IFERROR(__xludf.DUMMYFUNCTION("""COMPUTED_VALUE"""),"BC-SUP-007")</f>
        <v>BC-SUP-007</v>
      </c>
      <c r="B98" s="8" t="str">
        <f>IFERROR(__xludf.DUMMYFUNCTION("""COMPUTED_VALUE"""),"suplements")</f>
        <v>suplements</v>
      </c>
      <c r="C98" s="8" t="str">
        <f>IFERROR(__xludf.DUMMYFUNCTION("""COMPUTED_VALUE"""),"CEBA")</f>
        <v>CEBA</v>
      </c>
      <c r="D98" s="8" t="str">
        <f>IFERROR(__xludf.DUMMYFUNCTION("""COMPUTED_VALUE"""),"")</f>
        <v/>
      </c>
      <c r="E98" s="9">
        <f>IFERROR(__xludf.DUMMYFUNCTION("""COMPUTED_VALUE"""),1.5)</f>
        <v>1.5</v>
      </c>
      <c r="F98" s="8" t="str">
        <f>IFERROR(__xludf.DUMMYFUNCTION("""COMPUTED_VALUE"""),"")</f>
        <v/>
      </c>
    </row>
    <row r="99">
      <c r="A99" s="8" t="str">
        <f>IFERROR(__xludf.DUMMYFUNCTION("""COMPUTED_VALUE"""),"BC-SUP-008")</f>
        <v>BC-SUP-008</v>
      </c>
      <c r="B99" s="8" t="str">
        <f>IFERROR(__xludf.DUMMYFUNCTION("""COMPUTED_VALUE"""),"suplements")</f>
        <v>suplements</v>
      </c>
      <c r="C99" s="8" t="str">
        <f>IFERROR(__xludf.DUMMYFUNCTION("""COMPUTED_VALUE"""),"OU")</f>
        <v>OU</v>
      </c>
      <c r="D99" s="8" t="str">
        <f>IFERROR(__xludf.DUMMYFUNCTION("""COMPUTED_VALUE"""),"")</f>
        <v/>
      </c>
      <c r="E99" s="9">
        <f>IFERROR(__xludf.DUMMYFUNCTION("""COMPUTED_VALUE"""),1.5)</f>
        <v>1.5</v>
      </c>
      <c r="F99" s="8" t="str">
        <f>IFERROR(__xludf.DUMMYFUNCTION("""COMPUTED_VALUE"""),"")</f>
        <v/>
      </c>
    </row>
    <row r="100">
      <c r="A100" s="8" t="str">
        <f>IFERROR(__xludf.DUMMYFUNCTION("""COMPUTED_VALUE"""),"BC-SUP-009")</f>
        <v>BC-SUP-009</v>
      </c>
      <c r="B100" s="8" t="str">
        <f>IFERROR(__xludf.DUMMYFUNCTION("""COMPUTED_VALUE"""),"suplements")</f>
        <v>suplements</v>
      </c>
      <c r="C100" s="8" t="str">
        <f>IFERROR(__xludf.DUMMYFUNCTION("""COMPUTED_VALUE"""),"BURRATA")</f>
        <v>BURRATA</v>
      </c>
      <c r="D100" s="8" t="str">
        <f>IFERROR(__xludf.DUMMYFUNCTION("""COMPUTED_VALUE"""),"")</f>
        <v/>
      </c>
      <c r="E100" s="9">
        <f>IFERROR(__xludf.DUMMYFUNCTION("""COMPUTED_VALUE"""),5.75)</f>
        <v>5.75</v>
      </c>
      <c r="F100" s="8" t="str">
        <f>IFERROR(__xludf.DUMMYFUNCTION("""COMPUTED_VALUE"""),"")</f>
        <v/>
      </c>
    </row>
    <row r="101">
      <c r="A101" s="8" t="str">
        <f>IFERROR(__xludf.DUMMYFUNCTION("""COMPUTED_VALUE"""),"BC-SUP-010")</f>
        <v>BC-SUP-010</v>
      </c>
      <c r="B101" s="8" t="str">
        <f>IFERROR(__xludf.DUMMYFUNCTION("""COMPUTED_VALUE"""),"suplements")</f>
        <v>suplements</v>
      </c>
      <c r="C101" s="8" t="str">
        <f>IFERROR(__xludf.DUMMYFUNCTION("""COMPUTED_VALUE"""),"PERNIL IBÈRIC")</f>
        <v>PERNIL IBÈRIC</v>
      </c>
      <c r="D101" s="8" t="str">
        <f>IFERROR(__xludf.DUMMYFUNCTION("""COMPUTED_VALUE"""),"")</f>
        <v/>
      </c>
      <c r="E101" s="9">
        <f>IFERROR(__xludf.DUMMYFUNCTION("""COMPUTED_VALUE"""),5.75)</f>
        <v>5.75</v>
      </c>
      <c r="F101" s="8" t="str">
        <f>IFERROR(__xludf.DUMMYFUNCTION("""COMPUTED_VALUE"""),"")</f>
        <v/>
      </c>
    </row>
    <row r="102">
      <c r="A102" s="8" t="str">
        <f>IFERROR(__xludf.DUMMYFUNCTION("""COMPUTED_VALUE"""),"BC-SUP-011")</f>
        <v>BC-SUP-011</v>
      </c>
      <c r="B102" s="8" t="str">
        <f>IFERROR(__xludf.DUMMYFUNCTION("""COMPUTED_VALUE"""),"suplements")</f>
        <v>suplements</v>
      </c>
      <c r="C102" s="8" t="str">
        <f>IFERROR(__xludf.DUMMYFUNCTION("""COMPUTED_VALUE"""),"VERDURES EXTRA")</f>
        <v>VERDURES EXTRA</v>
      </c>
      <c r="D102" s="8" t="str">
        <f>IFERROR(__xludf.DUMMYFUNCTION("""COMPUTED_VALUE"""),"")</f>
        <v/>
      </c>
      <c r="E102" s="9">
        <f>IFERROR(__xludf.DUMMYFUNCTION("""COMPUTED_VALUE"""),2.25)</f>
        <v>2.25</v>
      </c>
      <c r="F102" s="8" t="str">
        <f>IFERROR(__xludf.DUMMYFUNCTION("""COMPUTED_VALUE"""),"")</f>
        <v/>
      </c>
    </row>
    <row r="103">
      <c r="A103" s="8" t="str">
        <f>IFERROR(__xludf.DUMMYFUNCTION("""COMPUTED_VALUE"""),"BC-SUP-012")</f>
        <v>BC-SUP-012</v>
      </c>
      <c r="B103" s="8" t="str">
        <f>IFERROR(__xludf.DUMMYFUNCTION("""COMPUTED_VALUE"""),"suplements")</f>
        <v>suplements</v>
      </c>
      <c r="C103" s="8" t="str">
        <f>IFERROR(__xludf.DUMMYFUNCTION("""COMPUTED_VALUE"""),"TOMÀQUET")</f>
        <v>TOMÀQUET</v>
      </c>
      <c r="D103" s="8" t="str">
        <f>IFERROR(__xludf.DUMMYFUNCTION("""COMPUTED_VALUE"""),"")</f>
        <v/>
      </c>
      <c r="E103" s="9">
        <f>IFERROR(__xludf.DUMMYFUNCTION("""COMPUTED_VALUE"""),2.25)</f>
        <v>2.25</v>
      </c>
      <c r="F103" s="8" t="str">
        <f>IFERROR(__xludf.DUMMYFUNCTION("""COMPUTED_VALUE"""),"")</f>
        <v/>
      </c>
    </row>
    <row r="104">
      <c r="A104" s="8" t="str">
        <f>IFERROR(__xludf.DUMMYFUNCTION("""COMPUTED_VALUE"""),"BC-SUP-013")</f>
        <v>BC-SUP-013</v>
      </c>
      <c r="B104" s="8" t="str">
        <f>IFERROR(__xludf.DUMMYFUNCTION("""COMPUTED_VALUE"""),"suplements")</f>
        <v>suplements</v>
      </c>
      <c r="C104" s="8" t="str">
        <f>IFERROR(__xludf.DUMMYFUNCTION("""COMPUTED_VALUE"""),"SALSES")</f>
        <v>SALSES</v>
      </c>
      <c r="D104" s="8" t="str">
        <f>IFERROR(__xludf.DUMMYFUNCTION("""COMPUTED_VALUE"""),"")</f>
        <v/>
      </c>
      <c r="E104" s="9">
        <f>IFERROR(__xludf.DUMMYFUNCTION("""COMPUTED_VALUE"""),2.0)</f>
        <v>2</v>
      </c>
      <c r="F104" s="8" t="str">
        <f>IFERROR(__xludf.DUMMYFUNCTION("""COMPUTED_VALUE"""),"")</f>
        <v/>
      </c>
    </row>
    <row r="105">
      <c r="A105" s="8" t="str">
        <f>IFERROR(__xludf.DUMMYFUNCTION("""COMPUTED_VALUE"""),"BC-SUP-014")</f>
        <v>BC-SUP-014</v>
      </c>
      <c r="B105" s="8" t="str">
        <f>IFERROR(__xludf.DUMMYFUNCTION("""COMPUTED_VALUE"""),"suplements")</f>
        <v>suplements</v>
      </c>
      <c r="C105" s="8" t="str">
        <f>IFERROR(__xludf.DUMMYFUNCTION("""COMPUTED_VALUE"""),"GUANCIALE")</f>
        <v>GUANCIALE</v>
      </c>
      <c r="D105" s="8" t="str">
        <f>IFERROR(__xludf.DUMMYFUNCTION("""COMPUTED_VALUE"""),"")</f>
        <v/>
      </c>
      <c r="E105" s="9">
        <f>IFERROR(__xludf.DUMMYFUNCTION("""COMPUTED_VALUE"""),3.75)</f>
        <v>3.75</v>
      </c>
      <c r="F105" s="8" t="str">
        <f>IFERROR(__xludf.DUMMYFUNCTION("""COMPUTED_VALUE"""),"")</f>
        <v/>
      </c>
    </row>
    <row r="106">
      <c r="A106" s="8" t="str">
        <f>IFERROR(__xludf.DUMMYFUNCTION("""COMPUTED_VALUE"""),"BC-SUP-015")</f>
        <v>BC-SUP-015</v>
      </c>
      <c r="B106" s="8" t="str">
        <f>IFERROR(__xludf.DUMMYFUNCTION("""COMPUTED_VALUE"""),"suplements")</f>
        <v>suplements</v>
      </c>
      <c r="C106" s="8" t="str">
        <f>IFERROR(__xludf.DUMMYFUNCTION("""COMPUTED_VALUE"""),"PARMESÀ")</f>
        <v>PARMESÀ</v>
      </c>
      <c r="D106" s="8" t="str">
        <f>IFERROR(__xludf.DUMMYFUNCTION("""COMPUTED_VALUE"""),"")</f>
        <v/>
      </c>
      <c r="E106" s="9">
        <f>IFERROR(__xludf.DUMMYFUNCTION("""COMPUTED_VALUE"""),3.5)</f>
        <v>3.5</v>
      </c>
      <c r="F106" s="8" t="str">
        <f>IFERROR(__xludf.DUMMYFUNCTION("""COMPUTED_VALUE"""),"")</f>
        <v/>
      </c>
    </row>
    <row r="107">
      <c r="A107" s="8" t="str">
        <f>IFERROR(__xludf.DUMMYFUNCTION("""COMPUTED_VALUE"""),"BC-SUP-016")</f>
        <v>BC-SUP-016</v>
      </c>
      <c r="B107" s="8" t="str">
        <f>IFERROR(__xludf.DUMMYFUNCTION("""COMPUTED_VALUE"""),"suplements")</f>
        <v>suplements</v>
      </c>
      <c r="C107" s="8" t="str">
        <f>IFERROR(__xludf.DUMMYFUNCTION("""COMPUTED_VALUE"""),"GAMBES")</f>
        <v>GAMBES</v>
      </c>
      <c r="D107" s="8" t="str">
        <f>IFERROR(__xludf.DUMMYFUNCTION("""COMPUTED_VALUE"""),"")</f>
        <v/>
      </c>
      <c r="E107" s="9">
        <f>IFERROR(__xludf.DUMMYFUNCTION("""COMPUTED_VALUE"""),5.25)</f>
        <v>5.25</v>
      </c>
      <c r="F107" s="8" t="str">
        <f>IFERROR(__xludf.DUMMYFUNCTION("""COMPUTED_VALUE"""),"")</f>
        <v/>
      </c>
    </row>
    <row r="108">
      <c r="A108" s="8" t="str">
        <f>IFERROR(__xludf.DUMMYFUNCTION("""COMPUTED_VALUE"""),"BC-SUP-017")</f>
        <v>BC-SUP-017</v>
      </c>
      <c r="B108" s="8" t="str">
        <f>IFERROR(__xludf.DUMMYFUNCTION("""COMPUTED_VALUE"""),"suplements")</f>
        <v>suplements</v>
      </c>
      <c r="C108" s="8" t="str">
        <f>IFERROR(__xludf.DUMMYFUNCTION("""COMPUTED_VALUE"""),"OLIVES")</f>
        <v>OLIVES</v>
      </c>
      <c r="D108" s="8" t="str">
        <f>IFERROR(__xludf.DUMMYFUNCTION("""COMPUTED_VALUE"""),"")</f>
        <v/>
      </c>
      <c r="E108" s="9">
        <f>IFERROR(__xludf.DUMMYFUNCTION("""COMPUTED_VALUE"""),1.5)</f>
        <v>1.5</v>
      </c>
      <c r="F108" s="8" t="str">
        <f>IFERROR(__xludf.DUMMYFUNCTION("""COMPUTED_VALUE"""),"")</f>
        <v/>
      </c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88"/>
  </cols>
  <sheetData>
    <row r="1" ht="28.5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16</v>
      </c>
    </row>
    <row r="2">
      <c r="A2" s="8" t="str">
        <f>IFERROR(__xludf.DUMMYFUNCTION("IFERROR(FILTER(HSTACK(MAESTRA!A2:A200,MAESTRA!C2:C200,IF(CONTROL!$B$4=""CAT"",MAESTRA!D2:D200,IF(CONTROL!$B$4=""ES"",MAESTRA!F2:F200,IF(CONTROL!$B$4=""FR"",MAESTRA!H2:H200,MAESTRA!J2:J200))),IF(CONTROL!$B$4=""CAT"",MAESTRA!E2:E200,IF(CONTROL!$B$4=""ES"",M"&amp;"AESTRA!G2:G200,IF(CONTROL!$B$4=""FR"",MAESTRA!I2:I200,MAESTRA!K2:K200))),MAESTRA!N2:N200,MAESTRA!R2:R200),MAESTRA!A2:A200&lt;&gt;"""",MAESTRA!Q2:Q200=TRUE),"""")"),"BC-001")</f>
        <v>BC-001</v>
      </c>
      <c r="B2" s="8" t="str">
        <f>IFERROR(__xludf.DUMMYFUNCTION("""COMPUTED_VALUE"""),"entrants")</f>
        <v>entrants</v>
      </c>
      <c r="C2" s="8" t="str">
        <f>IFERROR(__xludf.DUMMYFUNCTION("""COMPUTED_VALUE"""),"PA DE PIZZA")</f>
        <v>PA DE PIZZA</v>
      </c>
      <c r="D2" s="8" t="str">
        <f>IFERROR(__xludf.DUMMYFUNCTION("""COMPUTED_VALUE"""),"Massa normal / integral")</f>
        <v>Massa normal / integral</v>
      </c>
      <c r="E2" s="9">
        <f>IFERROR(__xludf.DUMMYFUNCTION("""COMPUTED_VALUE"""),5.0)</f>
        <v>5</v>
      </c>
      <c r="F2" s="8" t="str">
        <f>IFERROR(__xludf.DUMMYFUNCTION("""COMPUTED_VALUE"""),"")</f>
        <v/>
      </c>
    </row>
    <row r="3">
      <c r="A3" s="8" t="str">
        <f>IFERROR(__xludf.DUMMYFUNCTION("""COMPUTED_VALUE"""),"BC-002")</f>
        <v>BC-002</v>
      </c>
      <c r="B3" s="8" t="str">
        <f>IFERROR(__xludf.DUMMYFUNCTION("""COMPUTED_VALUE"""),"entrants")</f>
        <v>entrants</v>
      </c>
      <c r="C3" s="8" t="str">
        <f>IFERROR(__xludf.DUMMYFUNCTION("""COMPUTED_VALUE"""),"FOCACCIA")</f>
        <v>FOCACCIA</v>
      </c>
      <c r="D3" s="8" t="str">
        <f>IFERROR(__xludf.DUMMYFUNCTION("""COMPUTED_VALUE"""),"")</f>
        <v/>
      </c>
      <c r="E3" s="9">
        <f>IFERROR(__xludf.DUMMYFUNCTION("""COMPUTED_VALUE"""),5.0)</f>
        <v>5</v>
      </c>
      <c r="F3" s="8" t="str">
        <f>IFERROR(__xludf.DUMMYFUNCTION("""COMPUTED_VALUE"""),"")</f>
        <v/>
      </c>
    </row>
    <row r="4">
      <c r="A4" s="8" t="str">
        <f>IFERROR(__xludf.DUMMYFUNCTION("""COMPUTED_VALUE"""),"BC-003")</f>
        <v>BC-003</v>
      </c>
      <c r="B4" s="8" t="str">
        <f>IFERROR(__xludf.DUMMYFUNCTION("""COMPUTED_VALUE"""),"entrants")</f>
        <v>entrants</v>
      </c>
      <c r="C4" s="8" t="str">
        <f>IFERROR(__xludf.DUMMYFUNCTION("""COMPUTED_VALUE"""),"PROVOLONE")</f>
        <v>PROVOLONE</v>
      </c>
      <c r="D4" s="8" t="str">
        <f>IFERROR(__xludf.DUMMYFUNCTION("""COMPUTED_VALUE"""),"")</f>
        <v/>
      </c>
      <c r="E4" s="9">
        <f>IFERROR(__xludf.DUMMYFUNCTION("""COMPUTED_VALUE"""),10.0)</f>
        <v>10</v>
      </c>
      <c r="F4" s="8" t="str">
        <f>IFERROR(__xludf.DUMMYFUNCTION("""COMPUTED_VALUE"""),"")</f>
        <v/>
      </c>
    </row>
    <row r="5">
      <c r="A5" s="8" t="str">
        <f>IFERROR(__xludf.DUMMYFUNCTION("""COMPUTED_VALUE"""),"BC-009")</f>
        <v>BC-009</v>
      </c>
      <c r="B5" s="8" t="str">
        <f>IFERROR(__xludf.DUMMYFUNCTION("""COMPUTED_VALUE"""),"amanides")</f>
        <v>amanides</v>
      </c>
      <c r="C5" s="8" t="str">
        <f>IFERROR(__xludf.DUMMYFUNCTION("""COMPUTED_VALUE"""),"BUFALATA")</f>
        <v>BUFALATA</v>
      </c>
      <c r="D5" s="8" t="str">
        <f>IFERROR(__xludf.DUMMYFUNCTION("""COMPUTED_VALUE"""),"Mesclum / burrata / bresaola / nous / olives")</f>
        <v>Mesclum / burrata / bresaola / nous / olives</v>
      </c>
      <c r="E5" s="9">
        <f>IFERROR(__xludf.DUMMYFUNCTION("""COMPUTED_VALUE"""),16.0)</f>
        <v>16</v>
      </c>
      <c r="F5" s="8" t="str">
        <f>IFERROR(__xludf.DUMMYFUNCTION("""COMPUTED_VALUE"""),"")</f>
        <v/>
      </c>
    </row>
    <row r="6">
      <c r="A6" s="8" t="str">
        <f>IFERROR(__xludf.DUMMYFUNCTION("""COMPUTED_VALUE"""),"BC-010")</f>
        <v>BC-010</v>
      </c>
      <c r="B6" s="8" t="str">
        <f>IFERROR(__xludf.DUMMYFUNCTION("""COMPUTED_VALUE"""),"amanides")</f>
        <v>amanides</v>
      </c>
      <c r="C6" s="8" t="str">
        <f>IFERROR(__xludf.DUMMYFUNCTION("""COMPUTED_VALUE"""),"CÈSAR")</f>
        <v>CÈSAR</v>
      </c>
      <c r="D6" s="8" t="str">
        <f>IFERROR(__xludf.DUMMYFUNCTION("""COMPUTED_VALUE"""),"Enciam / pollastre / crostons / cherry / parmesà / salsa cèsar")</f>
        <v>Enciam / pollastre / crostons / cherry / parmesà / salsa cèsar</v>
      </c>
      <c r="E6" s="9">
        <f>IFERROR(__xludf.DUMMYFUNCTION("""COMPUTED_VALUE"""),16.0)</f>
        <v>16</v>
      </c>
      <c r="F6" s="8" t="str">
        <f>IFERROR(__xludf.DUMMYFUNCTION("""COMPUTED_VALUE"""),"")</f>
        <v/>
      </c>
    </row>
    <row r="7">
      <c r="A7" s="8" t="str">
        <f>IFERROR(__xludf.DUMMYFUNCTION("""COMPUTED_VALUE"""),"BC-011")</f>
        <v>BC-011</v>
      </c>
      <c r="B7" s="8" t="str">
        <f>IFERROR(__xludf.DUMMYFUNCTION("""COMPUTED_VALUE"""),"amanides")</f>
        <v>amanides</v>
      </c>
      <c r="C7" s="8" t="str">
        <f>IFERROR(__xludf.DUMMYFUNCTION("""COMPUTED_VALUE"""),"CABRA")</f>
        <v>CABRA</v>
      </c>
      <c r="D7" s="8" t="str">
        <f>IFERROR(__xludf.DUMMYFUNCTION("""COMPUTED_VALUE"""),"Mesclum / cherry / escalivada / albergínia, pebre, ceba / nous / cabra / balsàmic")</f>
        <v>Mesclum / cherry / escalivada / albergínia, pebre, ceba / nous / cabra / balsàmic</v>
      </c>
      <c r="E7" s="9">
        <f>IFERROR(__xludf.DUMMYFUNCTION("""COMPUTED_VALUE"""),16.0)</f>
        <v>16</v>
      </c>
      <c r="F7" s="8" t="str">
        <f>IFERROR(__xludf.DUMMYFUNCTION("""COMPUTED_VALUE"""),"")</f>
        <v/>
      </c>
    </row>
    <row r="8">
      <c r="A8" s="8" t="str">
        <f>IFERROR(__xludf.DUMMYFUNCTION("""COMPUTED_VALUE"""),"BC-012")</f>
        <v>BC-012</v>
      </c>
      <c r="B8" s="8" t="str">
        <f>IFERROR(__xludf.DUMMYFUNCTION("""COMPUTED_VALUE"""),"amanides")</f>
        <v>amanides</v>
      </c>
      <c r="C8" s="8" t="str">
        <f>IFERROR(__xludf.DUMMYFUNCTION("""COMPUTED_VALUE"""),"LUNA CAPRESE")</f>
        <v>LUNA CAPRESE</v>
      </c>
      <c r="D8" s="8" t="str">
        <f>IFERROR(__xludf.DUMMYFUNCTION("""COMPUTED_VALUE"""),"Tomàquet / mozzarella / salsa pesto / ruca / salsa mòdena")</f>
        <v>Tomàquet / mozzarella / salsa pesto / ruca / salsa mòdena</v>
      </c>
      <c r="E8" s="9">
        <f>IFERROR(__xludf.DUMMYFUNCTION("""COMPUTED_VALUE"""),15.5)</f>
        <v>15.5</v>
      </c>
      <c r="F8" s="8" t="str">
        <f>IFERROR(__xludf.DUMMYFUNCTION("""COMPUTED_VALUE"""),"")</f>
        <v/>
      </c>
    </row>
    <row r="9">
      <c r="A9" s="8" t="str">
        <f>IFERROR(__xludf.DUMMYFUNCTION("""COMPUTED_VALUE"""),"BC-017")</f>
        <v>BC-017</v>
      </c>
      <c r="B9" s="8" t="str">
        <f>IFERROR(__xludf.DUMMYFUNCTION("""COMPUTED_VALUE"""),"carn")</f>
        <v>carn</v>
      </c>
      <c r="C9" s="8" t="str">
        <f>IFERROR(__xludf.DUMMYFUNCTION("""COMPUTED_VALUE"""),"EMBOTITS ITALIANS")</f>
        <v>EMBOTITS ITALIANS</v>
      </c>
      <c r="D9" s="8" t="str">
        <f>IFERROR(__xludf.DUMMYFUNCTION("""COMPUTED_VALUE"""),"Bresaola / salami / mortadel·la de tòfona / mortadel·la de pistatxos / la piatta piccante")</f>
        <v>Bresaola / salami / mortadel·la de tòfona / mortadel·la de pistatxos / la piatta piccante</v>
      </c>
      <c r="E9" s="9">
        <f>IFERROR(__xludf.DUMMYFUNCTION("""COMPUTED_VALUE"""),22.5)</f>
        <v>22.5</v>
      </c>
      <c r="F9" s="8" t="str">
        <f>IFERROR(__xludf.DUMMYFUNCTION("""COMPUTED_VALUE"""),"")</f>
        <v/>
      </c>
    </row>
    <row r="10">
      <c r="A10" s="8" t="str">
        <f>IFERROR(__xludf.DUMMYFUNCTION("""COMPUTED_VALUE"""),"BC-018")</f>
        <v>BC-018</v>
      </c>
      <c r="B10" s="8" t="str">
        <f>IFERROR(__xludf.DUMMYFUNCTION("""COMPUTED_VALUE"""),"pasta")</f>
        <v>pasta</v>
      </c>
      <c r="C10" s="8" t="str">
        <f>IFERROR(__xludf.DUMMYFUNCTION("""COMPUTED_VALUE"""),"BIGOLI ALLA NAPOLITANA")</f>
        <v>BIGOLI ALLA NAPOLITANA</v>
      </c>
      <c r="D10" s="8" t="str">
        <f>IFERROR(__xludf.DUMMYFUNCTION("""COMPUTED_VALUE"""),"Pasta amb tomàquets")</f>
        <v>Pasta amb tomàquets</v>
      </c>
      <c r="E10" s="9">
        <f>IFERROR(__xludf.DUMMYFUNCTION("""COMPUTED_VALUE"""),9.5)</f>
        <v>9.5</v>
      </c>
      <c r="F10" s="8" t="str">
        <f>IFERROR(__xludf.DUMMYFUNCTION("""COMPUTED_VALUE"""),"")</f>
        <v/>
      </c>
    </row>
    <row r="11">
      <c r="A11" s="8" t="str">
        <f>IFERROR(__xludf.DUMMYFUNCTION("""COMPUTED_VALUE"""),"BC-019")</f>
        <v>BC-019</v>
      </c>
      <c r="B11" s="8" t="str">
        <f>IFERROR(__xludf.DUMMYFUNCTION("""COMPUTED_VALUE"""),"pasta")</f>
        <v>pasta</v>
      </c>
      <c r="C11" s="8" t="str">
        <f>IFERROR(__xludf.DUMMYFUNCTION("""COMPUTED_VALUE"""),"TAGLIATELLE TARTUFATA")</f>
        <v>TAGLIATELLE TARTUFATA</v>
      </c>
      <c r="D11" s="8" t="str">
        <f>IFERROR(__xludf.DUMMYFUNCTION("""COMPUTED_VALUE"""),"Amb crema de tòfona")</f>
        <v>Amb crema de tòfona</v>
      </c>
      <c r="E11" s="9">
        <f>IFERROR(__xludf.DUMMYFUNCTION("""COMPUTED_VALUE"""),14.0)</f>
        <v>14</v>
      </c>
      <c r="F11" s="8" t="str">
        <f>IFERROR(__xludf.DUMMYFUNCTION("""COMPUTED_VALUE"""),"")</f>
        <v/>
      </c>
    </row>
    <row r="12">
      <c r="A12" s="8" t="str">
        <f>IFERROR(__xludf.DUMMYFUNCTION("""COMPUTED_VALUE"""),"BC-020")</f>
        <v>BC-020</v>
      </c>
      <c r="B12" s="8" t="str">
        <f>IFERROR(__xludf.DUMMYFUNCTION("""COMPUTED_VALUE"""),"pasta")</f>
        <v>pasta</v>
      </c>
      <c r="C12" s="8" t="str">
        <f>IFERROR(__xludf.DUMMYFUNCTION("""COMPUTED_VALUE"""),"GARGANELLI ALL’ARRABBIATA")</f>
        <v>GARGANELLI ALL’ARRABBIATA</v>
      </c>
      <c r="D12" s="8" t="str">
        <f>IFERROR(__xludf.DUMMYFUNCTION("""COMPUTED_VALUE"""),"Salsa picant tradicional casolana")</f>
        <v>Salsa picant tradicional casolana</v>
      </c>
      <c r="E12" s="9">
        <f>IFERROR(__xludf.DUMMYFUNCTION("""COMPUTED_VALUE"""),14.0)</f>
        <v>14</v>
      </c>
      <c r="F12" s="8" t="str">
        <f>IFERROR(__xludf.DUMMYFUNCTION("""COMPUTED_VALUE"""),"")</f>
        <v/>
      </c>
    </row>
    <row r="13">
      <c r="A13" s="8" t="str">
        <f>IFERROR(__xludf.DUMMYFUNCTION("""COMPUTED_VALUE"""),"BC-021")</f>
        <v>BC-021</v>
      </c>
      <c r="B13" s="8" t="str">
        <f>IFERROR(__xludf.DUMMYFUNCTION("""COMPUTED_VALUE"""),"pasta")</f>
        <v>pasta</v>
      </c>
      <c r="C13" s="8" t="str">
        <f>IFERROR(__xludf.DUMMYFUNCTION("""COMPUTED_VALUE"""),"SPAGHETTI RAGÚ ALLA BOLOGNESE")</f>
        <v>SPAGHETTI RAGÚ ALLA BOLOGNESE</v>
      </c>
      <c r="D13" s="8" t="str">
        <f>IFERROR(__xludf.DUMMYFUNCTION("""COMPUTED_VALUE"""),"Salsa casolana de carn d'Andorra")</f>
        <v>Salsa casolana de carn d'Andorra</v>
      </c>
      <c r="E13" s="9">
        <f>IFERROR(__xludf.DUMMYFUNCTION("""COMPUTED_VALUE"""),15.5)</f>
        <v>15.5</v>
      </c>
      <c r="F13" s="8" t="str">
        <f>IFERROR(__xludf.DUMMYFUNCTION("""COMPUTED_VALUE"""),"")</f>
        <v/>
      </c>
    </row>
    <row r="14">
      <c r="A14" s="8" t="str">
        <f>IFERROR(__xludf.DUMMYFUNCTION("""COMPUTED_VALUE"""),"BC-023")</f>
        <v>BC-023</v>
      </c>
      <c r="B14" s="8" t="str">
        <f>IFERROR(__xludf.DUMMYFUNCTION("""COMPUTED_VALUE"""),"pasta")</f>
        <v>pasta</v>
      </c>
      <c r="C14" s="8" t="str">
        <f>IFERROR(__xludf.DUMMYFUNCTION("""COMPUTED_VALUE"""),"LINGUINE D’ALL I ALFÀBREGA AMB PESTO")</f>
        <v>LINGUINE D’ALL I ALFÀBREGA AMB PESTO</v>
      </c>
      <c r="D14" s="8" t="str">
        <f>IFERROR(__xludf.DUMMYFUNCTION("""COMPUTED_VALUE"""),"Salsa casolana d’alfàbrega de quilòmetre 0")</f>
        <v>Salsa casolana d’alfàbrega de quilòmetre 0</v>
      </c>
      <c r="E14" s="9">
        <f>IFERROR(__xludf.DUMMYFUNCTION("""COMPUTED_VALUE"""),15.5)</f>
        <v>15.5</v>
      </c>
      <c r="F14" s="8" t="str">
        <f>IFERROR(__xludf.DUMMYFUNCTION("""COMPUTED_VALUE"""),"")</f>
        <v/>
      </c>
    </row>
    <row r="15">
      <c r="A15" s="8" t="str">
        <f>IFERROR(__xludf.DUMMYFUNCTION("""COMPUTED_VALUE"""),"BC-024")</f>
        <v>BC-024</v>
      </c>
      <c r="B15" s="8" t="str">
        <f>IFERROR(__xludf.DUMMYFUNCTION("""COMPUTED_VALUE"""),"pasta")</f>
        <v>pasta</v>
      </c>
      <c r="C15" s="8" t="str">
        <f>IFERROR(__xludf.DUMMYFUNCTION("""COMPUTED_VALUE"""),"BIGOLI ALLA CARBONARA")</f>
        <v>BIGOLI ALLA CARBONARA</v>
      </c>
      <c r="D15" s="8" t="str">
        <f>IFERROR(__xludf.DUMMYFUNCTION("""COMPUTED_VALUE"""),"Recepta tradicional amb ous i guanciale")</f>
        <v>Recepta tradicional amb ous i guanciale</v>
      </c>
      <c r="E15" s="9">
        <f>IFERROR(__xludf.DUMMYFUNCTION("""COMPUTED_VALUE"""),17.0)</f>
        <v>17</v>
      </c>
      <c r="F15" s="8" t="str">
        <f>IFERROR(__xludf.DUMMYFUNCTION("""COMPUTED_VALUE"""),"")</f>
        <v/>
      </c>
    </row>
    <row r="16">
      <c r="A16" s="8" t="str">
        <f>IFERROR(__xludf.DUMMYFUNCTION("""COMPUTED_VALUE"""),"BC-026")</f>
        <v>BC-026</v>
      </c>
      <c r="B16" s="8" t="str">
        <f>IFERROR(__xludf.DUMMYFUNCTION("""COMPUTED_VALUE"""),"pasta_farcida")</f>
        <v>pasta_farcida</v>
      </c>
      <c r="C16" s="8" t="str">
        <f>IFERROR(__xludf.DUMMYFUNCTION("""COMPUTED_VALUE"""),"RAVIOLIS DE BOLETS")</f>
        <v>RAVIOLIS DE BOLETS</v>
      </c>
      <c r="D16" s="8" t="str">
        <f>IFERROR(__xludf.DUMMYFUNCTION("""COMPUTED_VALUE"""),"Servit amb salsa casolana de pesto")</f>
        <v>Servit amb salsa casolana de pesto</v>
      </c>
      <c r="E16" s="9">
        <f>IFERROR(__xludf.DUMMYFUNCTION("""COMPUTED_VALUE"""),17.5)</f>
        <v>17.5</v>
      </c>
      <c r="F16" s="8" t="str">
        <f>IFERROR(__xludf.DUMMYFUNCTION("""COMPUTED_VALUE"""),"")</f>
        <v/>
      </c>
    </row>
    <row r="17">
      <c r="A17" s="8" t="str">
        <f>IFERROR(__xludf.DUMMYFUNCTION("""COMPUTED_VALUE"""),"BC-028")</f>
        <v>BC-028</v>
      </c>
      <c r="B17" s="8" t="str">
        <f>IFERROR(__xludf.DUMMYFUNCTION("""COMPUTED_VALUE"""),"pasta_farcida")</f>
        <v>pasta_farcida</v>
      </c>
      <c r="C17" s="8" t="str">
        <f>IFERROR(__xludf.DUMMYFUNCTION("""COMPUTED_VALUE"""),"CANELONS DE CARN")</f>
        <v>CANELONS DE CARN</v>
      </c>
      <c r="D17" s="8" t="str">
        <f>IFERROR(__xludf.DUMMYFUNCTION("""COMPUTED_VALUE"""),"Canelons fets per nosaltres servits amb salsa boloñesa casolana")</f>
        <v>Canelons fets per nosaltres servits amb salsa boloñesa casolana</v>
      </c>
      <c r="E17" s="9">
        <f>IFERROR(__xludf.DUMMYFUNCTION("""COMPUTED_VALUE"""),13.5)</f>
        <v>13.5</v>
      </c>
      <c r="F17" s="8" t="str">
        <f>IFERROR(__xludf.DUMMYFUNCTION("""COMPUTED_VALUE"""),"")</f>
        <v/>
      </c>
    </row>
    <row r="18">
      <c r="A18" s="8" t="str">
        <f>IFERROR(__xludf.DUMMYFUNCTION("""COMPUTED_VALUE"""),"BC-029")</f>
        <v>BC-029</v>
      </c>
      <c r="B18" s="8" t="str">
        <f>IFERROR(__xludf.DUMMYFUNCTION("""COMPUTED_VALUE"""),"pasta_farcida")</f>
        <v>pasta_farcida</v>
      </c>
      <c r="C18" s="8" t="str">
        <f>IFERROR(__xludf.DUMMYFUNCTION("""COMPUTED_VALUE"""),"NYOQUIS")</f>
        <v>NYOQUIS</v>
      </c>
      <c r="D18" s="8" t="str">
        <f>IFERROR(__xludf.DUMMYFUNCTION("""COMPUTED_VALUE"""),"Crema de tomàquet fresc i stracciatella")</f>
        <v>Crema de tomàquet fresc i stracciatella</v>
      </c>
      <c r="E18" s="9">
        <f>IFERROR(__xludf.DUMMYFUNCTION("""COMPUTED_VALUE"""),16.0)</f>
        <v>16</v>
      </c>
      <c r="F18" s="8" t="str">
        <f>IFERROR(__xludf.DUMMYFUNCTION("""COMPUTED_VALUE"""),"")</f>
        <v/>
      </c>
    </row>
    <row r="19">
      <c r="A19" s="8" t="str">
        <f>IFERROR(__xludf.DUMMYFUNCTION("""COMPUTED_VALUE"""),"BC-030")</f>
        <v>BC-030</v>
      </c>
      <c r="B19" s="8" t="str">
        <f>IFERROR(__xludf.DUMMYFUNCTION("""COMPUTED_VALUE"""),"pasta_farcida")</f>
        <v>pasta_farcida</v>
      </c>
      <c r="C19" s="8" t="str">
        <f>IFERROR(__xludf.DUMMYFUNCTION("""COMPUTED_VALUE"""),"LASANYA BOLONYESA")</f>
        <v>LASANYA BOLONYESA</v>
      </c>
      <c r="D19" s="8" t="str">
        <f>IFERROR(__xludf.DUMMYFUNCTION("""COMPUTED_VALUE"""),"Feta per nosaltres / salsa bolonyesa casolana")</f>
        <v>Feta per nosaltres / salsa bolonyesa casolana</v>
      </c>
      <c r="E19" s="9">
        <f>IFERROR(__xludf.DUMMYFUNCTION("""COMPUTED_VALUE"""),15.5)</f>
        <v>15.5</v>
      </c>
      <c r="F19" s="8" t="str">
        <f>IFERROR(__xludf.DUMMYFUNCTION("""COMPUTED_VALUE"""),"")</f>
        <v/>
      </c>
    </row>
    <row r="20">
      <c r="A20" s="8" t="str">
        <f>IFERROR(__xludf.DUMMYFUNCTION("""COMPUTED_VALUE"""),"BC-031")</f>
        <v>BC-031</v>
      </c>
      <c r="B20" s="8" t="str">
        <f>IFERROR(__xludf.DUMMYFUNCTION("""COMPUTED_VALUE"""),"pasta_farcida")</f>
        <v>pasta_farcida</v>
      </c>
      <c r="C20" s="8" t="str">
        <f>IFERROR(__xludf.DUMMYFUNCTION("""COMPUTED_VALUE"""),"RISOTTO DE BOLETS")</f>
        <v>RISOTTO DE BOLETS</v>
      </c>
      <c r="D20" s="8" t="str">
        <f>IFERROR(__xludf.DUMMYFUNCTION("""COMPUTED_VALUE"""),"Amb crema de tòfona")</f>
        <v>Amb crema de tòfona</v>
      </c>
      <c r="E20" s="9">
        <f>IFERROR(__xludf.DUMMYFUNCTION("""COMPUTED_VALUE"""),19.0)</f>
        <v>19</v>
      </c>
      <c r="F20" s="8" t="str">
        <f>IFERROR(__xludf.DUMMYFUNCTION("""COMPUTED_VALUE"""),"")</f>
        <v/>
      </c>
    </row>
    <row r="21">
      <c r="A21" s="8" t="str">
        <f>IFERROR(__xludf.DUMMYFUNCTION("""COMPUTED_VALUE"""),"BC-032")</f>
        <v>BC-032</v>
      </c>
      <c r="B21" s="8" t="str">
        <f>IFERROR(__xludf.DUMMYFUNCTION("""COMPUTED_VALUE"""),"pizzes")</f>
        <v>pizzes</v>
      </c>
      <c r="C21" s="8" t="str">
        <f>IFERROR(__xludf.DUMMYFUNCTION("""COMPUTED_VALUE"""),"MARGARITA")</f>
        <v>MARGARITA</v>
      </c>
      <c r="D21" s="8" t="str">
        <f>IFERROR(__xludf.DUMMYFUNCTION("""COMPUTED_VALUE"""),"Tomàquet / mozzarella")</f>
        <v>Tomàquet / mozzarella</v>
      </c>
      <c r="E21" s="9">
        <f>IFERROR(__xludf.DUMMYFUNCTION("""COMPUTED_VALUE"""),12.0)</f>
        <v>12</v>
      </c>
      <c r="F21" s="8" t="str">
        <f>IFERROR(__xludf.DUMMYFUNCTION("""COMPUTED_VALUE"""),"")</f>
        <v/>
      </c>
    </row>
    <row r="22">
      <c r="A22" s="8" t="str">
        <f>IFERROR(__xludf.DUMMYFUNCTION("""COMPUTED_VALUE"""),"BC-033")</f>
        <v>BC-033</v>
      </c>
      <c r="B22" s="8" t="str">
        <f>IFERROR(__xludf.DUMMYFUNCTION("""COMPUTED_VALUE"""),"pizzes")</f>
        <v>pizzes</v>
      </c>
      <c r="C22" s="8" t="str">
        <f>IFERROR(__xludf.DUMMYFUNCTION("""COMPUTED_VALUE"""),"PROSCIUTO")</f>
        <v>PROSCIUTO</v>
      </c>
      <c r="D22" s="8" t="str">
        <f>IFERROR(__xludf.DUMMYFUNCTION("""COMPUTED_VALUE"""),"Tomàquet / mozzarella / pernil dolç")</f>
        <v>Tomàquet / mozzarella / pernil dolç</v>
      </c>
      <c r="E22" s="9">
        <f>IFERROR(__xludf.DUMMYFUNCTION("""COMPUTED_VALUE"""),14.5)</f>
        <v>14.5</v>
      </c>
      <c r="F22" s="8" t="str">
        <f>IFERROR(__xludf.DUMMYFUNCTION("""COMPUTED_VALUE"""),"")</f>
        <v/>
      </c>
    </row>
    <row r="23">
      <c r="A23" s="8" t="str">
        <f>IFERROR(__xludf.DUMMYFUNCTION("""COMPUTED_VALUE"""),"BC-034")</f>
        <v>BC-034</v>
      </c>
      <c r="B23" s="8" t="str">
        <f>IFERROR(__xludf.DUMMYFUNCTION("""COMPUTED_VALUE"""),"pizzes")</f>
        <v>pizzes</v>
      </c>
      <c r="C23" s="8" t="str">
        <f>IFERROR(__xludf.DUMMYFUNCTION("""COMPUTED_VALUE"""),"REGINA")</f>
        <v>REGINA</v>
      </c>
      <c r="D23" s="8" t="str">
        <f>IFERROR(__xludf.DUMMYFUNCTION("""COMPUTED_VALUE"""),"Tomàquet / mozzarella / pernil dolç / xampinyons")</f>
        <v>Tomàquet / mozzarella / pernil dolç / xampinyons</v>
      </c>
      <c r="E23" s="9">
        <f>IFERROR(__xludf.DUMMYFUNCTION("""COMPUTED_VALUE"""),15.0)</f>
        <v>15</v>
      </c>
      <c r="F23" s="8" t="str">
        <f>IFERROR(__xludf.DUMMYFUNCTION("""COMPUTED_VALUE"""),"")</f>
        <v/>
      </c>
    </row>
    <row r="24">
      <c r="A24" s="8" t="str">
        <f>IFERROR(__xludf.DUMMYFUNCTION("""COMPUTED_VALUE"""),"BC-035")</f>
        <v>BC-035</v>
      </c>
      <c r="B24" s="8" t="str">
        <f>IFERROR(__xludf.DUMMYFUNCTION("""COMPUTED_VALUE"""),"pizzes")</f>
        <v>pizzes</v>
      </c>
      <c r="C24" s="8" t="str">
        <f>IFERROR(__xludf.DUMMYFUNCTION("""COMPUTED_VALUE"""),"CALZONE")</f>
        <v>CALZONE</v>
      </c>
      <c r="D24" s="8" t="str">
        <f>IFERROR(__xludf.DUMMYFUNCTION("""COMPUTED_VALUE"""),"Tomàquet / mozzarella / pernil dolç / ou")</f>
        <v>Tomàquet / mozzarella / pernil dolç / ou</v>
      </c>
      <c r="E24" s="9">
        <f>IFERROR(__xludf.DUMMYFUNCTION("""COMPUTED_VALUE"""),17.0)</f>
        <v>17</v>
      </c>
      <c r="F24" s="8" t="str">
        <f>IFERROR(__xludf.DUMMYFUNCTION("""COMPUTED_VALUE"""),"")</f>
        <v/>
      </c>
    </row>
    <row r="25">
      <c r="A25" s="8" t="str">
        <f>IFERROR(__xludf.DUMMYFUNCTION("""COMPUTED_VALUE"""),"BC-036")</f>
        <v>BC-036</v>
      </c>
      <c r="B25" s="8" t="str">
        <f>IFERROR(__xludf.DUMMYFUNCTION("""COMPUTED_VALUE"""),"pizzes")</f>
        <v>pizzes</v>
      </c>
      <c r="C25" s="8" t="str">
        <f>IFERROR(__xludf.DUMMYFUNCTION("""COMPUTED_VALUE"""),"PEPPERONI")</f>
        <v>PEPPERONI</v>
      </c>
      <c r="D25" s="8" t="str">
        <f>IFERROR(__xludf.DUMMYFUNCTION("""COMPUTED_VALUE"""),"Tomàquet / mozzarella / pepperoni / bitxo verd")</f>
        <v>Tomàquet / mozzarella / pepperoni / bitxo verd</v>
      </c>
      <c r="E25" s="9">
        <f>IFERROR(__xludf.DUMMYFUNCTION("""COMPUTED_VALUE"""),15.5)</f>
        <v>15.5</v>
      </c>
      <c r="F25" s="8" t="str">
        <f>IFERROR(__xludf.DUMMYFUNCTION("""COMPUTED_VALUE"""),"")</f>
        <v/>
      </c>
    </row>
    <row r="26">
      <c r="A26" s="8" t="str">
        <f>IFERROR(__xludf.DUMMYFUNCTION("""COMPUTED_VALUE"""),"BC-037")</f>
        <v>BC-037</v>
      </c>
      <c r="B26" s="8" t="str">
        <f>IFERROR(__xludf.DUMMYFUNCTION("""COMPUTED_VALUE"""),"pizzes")</f>
        <v>pizzes</v>
      </c>
      <c r="C26" s="8" t="str">
        <f>IFERROR(__xludf.DUMMYFUNCTION("""COMPUTED_VALUE"""),"CAPRESE")</f>
        <v>CAPRESE</v>
      </c>
      <c r="D26" s="8" t="str">
        <f>IFERROR(__xludf.DUMMYFUNCTION("""COMPUTED_VALUE"""),"Tomàquet / mozzarella fresca / tomàquet sec casolà / alfàbrega")</f>
        <v>Tomàquet / mozzarella fresca / tomàquet sec casolà / alfàbrega</v>
      </c>
      <c r="E26" s="9">
        <f>IFERROR(__xludf.DUMMYFUNCTION("""COMPUTED_VALUE"""),15.5)</f>
        <v>15.5</v>
      </c>
      <c r="F26" s="8" t="str">
        <f>IFERROR(__xludf.DUMMYFUNCTION("""COMPUTED_VALUE"""),"")</f>
        <v/>
      </c>
    </row>
    <row r="27">
      <c r="A27" s="8" t="str">
        <f>IFERROR(__xludf.DUMMYFUNCTION("""COMPUTED_VALUE"""),"BC-039")</f>
        <v>BC-039</v>
      </c>
      <c r="B27" s="8" t="str">
        <f>IFERROR(__xludf.DUMMYFUNCTION("""COMPUTED_VALUE"""),"pizzes")</f>
        <v>pizzes</v>
      </c>
      <c r="C27" s="8" t="str">
        <f>IFERROR(__xludf.DUMMYFUNCTION("""COMPUTED_VALUE"""),"IBÉRICA")</f>
        <v>IBÉRICA</v>
      </c>
      <c r="D27" s="8" t="str">
        <f>IFERROR(__xludf.DUMMYFUNCTION("""COMPUTED_VALUE"""),"Tomàquet / mozzarella / pernil ibèric / parmesà / ruca")</f>
        <v>Tomàquet / mozzarella / pernil ibèric / parmesà / ruca</v>
      </c>
      <c r="E27" s="9">
        <f>IFERROR(__xludf.DUMMYFUNCTION("""COMPUTED_VALUE"""),18.5)</f>
        <v>18.5</v>
      </c>
      <c r="F27" s="8" t="str">
        <f>IFERROR(__xludf.DUMMYFUNCTION("""COMPUTED_VALUE"""),"")</f>
        <v/>
      </c>
    </row>
    <row r="28">
      <c r="A28" s="8" t="str">
        <f>IFERROR(__xludf.DUMMYFUNCTION("""COMPUTED_VALUE"""),"BC-040")</f>
        <v>BC-040</v>
      </c>
      <c r="B28" s="8" t="str">
        <f>IFERROR(__xludf.DUMMYFUNCTION("""COMPUTED_VALUE"""),"pizzes")</f>
        <v>pizzes</v>
      </c>
      <c r="C28" s="8" t="str">
        <f>IFERROR(__xludf.DUMMYFUNCTION("""COMPUTED_VALUE"""),"4 ESTACIONS")</f>
        <v>4 ESTACIONS</v>
      </c>
      <c r="D28" s="8" t="str">
        <f>IFERROR(__xludf.DUMMYFUNCTION("""COMPUTED_VALUE"""),"Tomàquet / mozzarella / pernil dolç / xampinyons / carxofes / olives")</f>
        <v>Tomàquet / mozzarella / pernil dolç / xampinyons / carxofes / olives</v>
      </c>
      <c r="E28" s="9">
        <f>IFERROR(__xludf.DUMMYFUNCTION("""COMPUTED_VALUE"""),16.0)</f>
        <v>16</v>
      </c>
      <c r="F28" s="8" t="str">
        <f>IFERROR(__xludf.DUMMYFUNCTION("""COMPUTED_VALUE"""),"")</f>
        <v/>
      </c>
    </row>
    <row r="29">
      <c r="A29" s="8" t="str">
        <f>IFERROR(__xludf.DUMMYFUNCTION("""COMPUTED_VALUE"""),"BC-041")</f>
        <v>BC-041</v>
      </c>
      <c r="B29" s="8" t="str">
        <f>IFERROR(__xludf.DUMMYFUNCTION("""COMPUTED_VALUE"""),"pizzes")</f>
        <v>pizzes</v>
      </c>
      <c r="C29" s="8" t="str">
        <f>IFERROR(__xludf.DUMMYFUNCTION("""COMPUTED_VALUE"""),"BELLA CIAO")</f>
        <v>BELLA CIAO</v>
      </c>
      <c r="D29" s="8" t="str">
        <f>IFERROR(__xludf.DUMMYFUNCTION("""COMPUTED_VALUE"""),"Tomàquet / mozzarella / bologna / burrata / vinagreta de pistatxo")</f>
        <v>Tomàquet / mozzarella / bologna / burrata / vinagreta de pistatxo</v>
      </c>
      <c r="E29" s="9">
        <f>IFERROR(__xludf.DUMMYFUNCTION("""COMPUTED_VALUE"""),17.5)</f>
        <v>17.5</v>
      </c>
      <c r="F29" s="8" t="str">
        <f>IFERROR(__xludf.DUMMYFUNCTION("""COMPUTED_VALUE"""),"")</f>
        <v/>
      </c>
    </row>
    <row r="30">
      <c r="A30" s="8" t="str">
        <f>IFERROR(__xludf.DUMMYFUNCTION("""COMPUTED_VALUE"""),"BC-042")</f>
        <v>BC-042</v>
      </c>
      <c r="B30" s="8" t="str">
        <f>IFERROR(__xludf.DUMMYFUNCTION("""COMPUTED_VALUE"""),"pizzes")</f>
        <v>pizzes</v>
      </c>
      <c r="C30" s="8" t="str">
        <f>IFERROR(__xludf.DUMMYFUNCTION("""COMPUTED_VALUE"""),"ITALIANA")</f>
        <v>ITALIANA</v>
      </c>
      <c r="D30" s="8" t="str">
        <f>IFERROR(__xludf.DUMMYFUNCTION("""COMPUTED_VALUE"""),"Tomàquet / ruca / mozzarella / cherry / burrata / salsa pesto")</f>
        <v>Tomàquet / ruca / mozzarella / cherry / burrata / salsa pesto</v>
      </c>
      <c r="E30" s="9">
        <f>IFERROR(__xludf.DUMMYFUNCTION("""COMPUTED_VALUE"""),18.0)</f>
        <v>18</v>
      </c>
      <c r="F30" s="8" t="str">
        <f>IFERROR(__xludf.DUMMYFUNCTION("""COMPUTED_VALUE"""),"")</f>
        <v/>
      </c>
    </row>
    <row r="31">
      <c r="A31" s="8" t="str">
        <f>IFERROR(__xludf.DUMMYFUNCTION("""COMPUTED_VALUE"""),"BC-043")</f>
        <v>BC-043</v>
      </c>
      <c r="B31" s="8" t="str">
        <f>IFERROR(__xludf.DUMMYFUNCTION("""COMPUTED_VALUE"""),"pizzes")</f>
        <v>pizzes</v>
      </c>
      <c r="C31" s="8" t="str">
        <f>IFERROR(__xludf.DUMMYFUNCTION("""COMPUTED_VALUE"""),"VEGETARIANA")</f>
        <v>VEGETARIANA</v>
      </c>
      <c r="D31" s="8" t="str">
        <f>IFERROR(__xludf.DUMMYFUNCTION("""COMPUTED_VALUE"""),"Tomàquet / mozzarella / pebrot / carxofes / xampinyons / ceba")</f>
        <v>Tomàquet / mozzarella / pebrot / carxofes / xampinyons / ceba</v>
      </c>
      <c r="E31" s="9">
        <f>IFERROR(__xludf.DUMMYFUNCTION("""COMPUTED_VALUE"""),16.5)</f>
        <v>16.5</v>
      </c>
      <c r="F31" s="8" t="str">
        <f>IFERROR(__xludf.DUMMYFUNCTION("""COMPUTED_VALUE"""),"")</f>
        <v/>
      </c>
    </row>
    <row r="32">
      <c r="A32" s="8" t="str">
        <f>IFERROR(__xludf.DUMMYFUNCTION("""COMPUTED_VALUE"""),"BC-044")</f>
        <v>BC-044</v>
      </c>
      <c r="B32" s="8" t="str">
        <f>IFERROR(__xludf.DUMMYFUNCTION("""COMPUTED_VALUE"""),"pizzes_blanques")</f>
        <v>pizzes_blanques</v>
      </c>
      <c r="C32" s="8" t="str">
        <f>IFERROR(__xludf.DUMMYFUNCTION("""COMPUTED_VALUE"""),"TARTUFATA")</f>
        <v>TARTUFATA</v>
      </c>
      <c r="D32" s="8" t="str">
        <f>IFERROR(__xludf.DUMMYFUNCTION("""COMPUTED_VALUE"""),"Mozzarella / crema de tòfona / romaní / parmesà")</f>
        <v>Mozzarella / crema de tòfona / romaní / parmesà</v>
      </c>
      <c r="E32" s="9">
        <f>IFERROR(__xludf.DUMMYFUNCTION("""COMPUTED_VALUE"""),15.5)</f>
        <v>15.5</v>
      </c>
      <c r="F32" s="8" t="str">
        <f>IFERROR(__xludf.DUMMYFUNCTION("""COMPUTED_VALUE"""),"")</f>
        <v/>
      </c>
    </row>
    <row r="33">
      <c r="A33" s="8" t="str">
        <f>IFERROR(__xludf.DUMMYFUNCTION("""COMPUTED_VALUE"""),"BC-045")</f>
        <v>BC-045</v>
      </c>
      <c r="B33" s="8" t="str">
        <f>IFERROR(__xludf.DUMMYFUNCTION("""COMPUTED_VALUE"""),"pizzes_blanques")</f>
        <v>pizzes_blanques</v>
      </c>
      <c r="C33" s="8" t="str">
        <f>IFERROR(__xludf.DUMMYFUNCTION("""COMPUTED_VALUE"""),"5 FORMATGES")</f>
        <v>5 FORMATGES</v>
      </c>
      <c r="D33" s="8" t="str">
        <f>IFERROR(__xludf.DUMMYFUNCTION("""COMPUTED_VALUE"""),"Mozzarella / cabra / emmental / roquefort / parmesà")</f>
        <v>Mozzarella / cabra / emmental / roquefort / parmesà</v>
      </c>
      <c r="E33" s="9">
        <f>IFERROR(__xludf.DUMMYFUNCTION("""COMPUTED_VALUE"""),16.5)</f>
        <v>16.5</v>
      </c>
      <c r="F33" s="8" t="str">
        <f>IFERROR(__xludf.DUMMYFUNCTION("""COMPUTED_VALUE"""),"")</f>
        <v/>
      </c>
    </row>
    <row r="34">
      <c r="A34" s="8" t="str">
        <f>IFERROR(__xludf.DUMMYFUNCTION("""COMPUTED_VALUE"""),"BC-047")</f>
        <v>BC-047</v>
      </c>
      <c r="B34" s="8" t="str">
        <f>IFERROR(__xludf.DUMMYFUNCTION("""COMPUTED_VALUE"""),"pizzes_blanques")</f>
        <v>pizzes_blanques</v>
      </c>
      <c r="C34" s="8" t="str">
        <f>IFERROR(__xludf.DUMMYFUNCTION("""COMPUTED_VALUE"""),"CARBONARA")</f>
        <v>CARBONARA</v>
      </c>
      <c r="D34" s="8" t="str">
        <f>IFERROR(__xludf.DUMMYFUNCTION("""COMPUTED_VALUE"""),"Mozzarella / nata / guanciale / ceba / ou / parmesà")</f>
        <v>Mozzarella / nata / guanciale / ceba / ou / parmesà</v>
      </c>
      <c r="E34" s="9">
        <f>IFERROR(__xludf.DUMMYFUNCTION("""COMPUTED_VALUE"""),16.0)</f>
        <v>16</v>
      </c>
      <c r="F34" s="8" t="str">
        <f>IFERROR(__xludf.DUMMYFUNCTION("""COMPUTED_VALUE"""),"")</f>
        <v/>
      </c>
    </row>
    <row r="35">
      <c r="A35" s="8" t="str">
        <f>IFERROR(__xludf.DUMMYFUNCTION("""COMPUTED_VALUE"""),"BC-048")</f>
        <v>BC-048</v>
      </c>
      <c r="B35" s="8" t="str">
        <f>IFERROR(__xludf.DUMMYFUNCTION("""COMPUTED_VALUE"""),"postres")</f>
        <v>postres</v>
      </c>
      <c r="C35" s="8" t="str">
        <f>IFERROR(__xludf.DUMMYFUNCTION("""COMPUTED_VALUE"""),"TIRAMISÚ CLÀSSIC")</f>
        <v>TIRAMISÚ CLÀSSIC</v>
      </c>
      <c r="D35" s="8" t="str">
        <f>IFERROR(__xludf.DUMMYFUNCTION("""COMPUTED_VALUE"""),"")</f>
        <v/>
      </c>
      <c r="E35" s="9">
        <f>IFERROR(__xludf.DUMMYFUNCTION("""COMPUTED_VALUE"""),7.0)</f>
        <v>7</v>
      </c>
      <c r="F35" s="8" t="str">
        <f>IFERROR(__xludf.DUMMYFUNCTION("""COMPUTED_VALUE"""),"")</f>
        <v/>
      </c>
    </row>
    <row r="36">
      <c r="A36" s="8" t="str">
        <f>IFERROR(__xludf.DUMMYFUNCTION("""COMPUTED_VALUE"""),"BC-049")</f>
        <v>BC-049</v>
      </c>
      <c r="B36" s="8" t="str">
        <f>IFERROR(__xludf.DUMMYFUNCTION("""COMPUTED_VALUE"""),"postres")</f>
        <v>postres</v>
      </c>
      <c r="C36" s="8" t="str">
        <f>IFERROR(__xludf.DUMMYFUNCTION("""COMPUTED_VALUE"""),"TIRAMISÚ DE FESTUCS")</f>
        <v>TIRAMISÚ DE FESTUCS</v>
      </c>
      <c r="D36" s="8" t="str">
        <f>IFERROR(__xludf.DUMMYFUNCTION("""COMPUTED_VALUE"""),"")</f>
        <v/>
      </c>
      <c r="E36" s="9">
        <f>IFERROR(__xludf.DUMMYFUNCTION("""COMPUTED_VALUE"""),8.0)</f>
        <v>8</v>
      </c>
      <c r="F36" s="8" t="str">
        <f>IFERROR(__xludf.DUMMYFUNCTION("""COMPUTED_VALUE"""),"")</f>
        <v/>
      </c>
    </row>
    <row r="37">
      <c r="A37" s="8" t="str">
        <f>IFERROR(__xludf.DUMMYFUNCTION("""COMPUTED_VALUE"""),"BC-051")</f>
        <v>BC-051</v>
      </c>
      <c r="B37" s="8" t="str">
        <f>IFERROR(__xludf.DUMMYFUNCTION("""COMPUTED_VALUE"""),"postres")</f>
        <v>postres</v>
      </c>
      <c r="C37" s="8" t="str">
        <f>IFERROR(__xludf.DUMMYFUNCTION("""COMPUTED_VALUE"""),"PANNA COTTA")</f>
        <v>PANNA COTTA</v>
      </c>
      <c r="D37" s="8" t="str">
        <f>IFERROR(__xludf.DUMMYFUNCTION("""COMPUTED_VALUE"""),"De romaní amb ginebra i préssec")</f>
        <v>De romaní amb ginebra i préssec</v>
      </c>
      <c r="E37" s="9">
        <f>IFERROR(__xludf.DUMMYFUNCTION("""COMPUTED_VALUE"""),6.5)</f>
        <v>6.5</v>
      </c>
      <c r="F37" s="8" t="str">
        <f>IFERROR(__xludf.DUMMYFUNCTION("""COMPUTED_VALUE"""),"")</f>
        <v/>
      </c>
    </row>
    <row r="38">
      <c r="A38" s="8" t="str">
        <f>IFERROR(__xludf.DUMMYFUNCTION("""COMPUTED_VALUE"""),"BC-052")</f>
        <v>BC-052</v>
      </c>
      <c r="B38" s="8" t="str">
        <f>IFERROR(__xludf.DUMMYFUNCTION("""COMPUTED_VALUE"""),"postres")</f>
        <v>postres</v>
      </c>
      <c r="C38" s="8" t="str">
        <f>IFERROR(__xludf.DUMMYFUNCTION("""COMPUTED_VALUE"""),"COULANT DE XOCOLATA")</f>
        <v>COULANT DE XOCOLATA</v>
      </c>
      <c r="D38" s="8" t="str">
        <f>IFERROR(__xludf.DUMMYFUNCTION("""COMPUTED_VALUE"""),"")</f>
        <v/>
      </c>
      <c r="E38" s="9">
        <f>IFERROR(__xludf.DUMMYFUNCTION("""COMPUTED_VALUE"""),5.0)</f>
        <v>5</v>
      </c>
      <c r="F38" s="8" t="str">
        <f>IFERROR(__xludf.DUMMYFUNCTION("""COMPUTED_VALUE"""),"")</f>
        <v/>
      </c>
    </row>
    <row r="39">
      <c r="A39" s="8" t="str">
        <f>IFERROR(__xludf.DUMMYFUNCTION("""COMPUTED_VALUE"""),"BC-054")</f>
        <v>BC-054</v>
      </c>
      <c r="B39" s="8" t="str">
        <f>IFERROR(__xludf.DUMMYFUNCTION("""COMPUTED_VALUE"""),"postres")</f>
        <v>postres</v>
      </c>
      <c r="C39" s="8" t="str">
        <f>IFERROR(__xludf.DUMMYFUNCTION("""COMPUTED_VALUE"""),"CALZONE DOLÇA")</f>
        <v>CALZONE DOLÇA</v>
      </c>
      <c r="D39" s="8" t="str">
        <f>IFERROR(__xludf.DUMMYFUNCTION("""COMPUTED_VALUE"""),"")</f>
        <v/>
      </c>
      <c r="E39" s="9">
        <f>IFERROR(__xludf.DUMMYFUNCTION("""COMPUTED_VALUE"""),10.0)</f>
        <v>10</v>
      </c>
      <c r="F39" s="8" t="str">
        <f>IFERROR(__xludf.DUMMYFUNCTION("""COMPUTED_VALUE"""),"")</f>
        <v/>
      </c>
    </row>
    <row r="40">
      <c r="A40" s="8" t="str">
        <f>IFERROR(__xludf.DUMMYFUNCTION("""COMPUTED_VALUE"""),"BC-067")</f>
        <v>BC-067</v>
      </c>
      <c r="B40" s="8" t="str">
        <f>IFERROR(__xludf.DUMMYFUNCTION("""COMPUTED_VALUE"""),"begudes")</f>
        <v>begudes</v>
      </c>
      <c r="C40" s="8" t="str">
        <f>IFERROR(__xludf.DUMMYFUNCTION("""COMPUTED_VALUE"""),"REFRESCOS")</f>
        <v>REFRESCOS</v>
      </c>
      <c r="D40" s="8" t="str">
        <f>IFERROR(__xludf.DUMMYFUNCTION("""COMPUTED_VALUE"""),"Coca-Cola / Fanta / Cola Zero / Nestea / Aquarius")</f>
        <v>Coca-Cola / Fanta / Cola Zero / Nestea / Aquarius</v>
      </c>
      <c r="E40" s="9">
        <f>IFERROR(__xludf.DUMMYFUNCTION("""COMPUTED_VALUE"""),3.0)</f>
        <v>3</v>
      </c>
      <c r="F40" s="8" t="str">
        <f>IFERROR(__xludf.DUMMYFUNCTION("""COMPUTED_VALUE"""),"")</f>
        <v/>
      </c>
    </row>
    <row r="41">
      <c r="A41" s="8" t="str">
        <f>IFERROR(__xludf.DUMMYFUNCTION("""COMPUTED_VALUE"""),"BC-068")</f>
        <v>BC-068</v>
      </c>
      <c r="B41" s="8" t="str">
        <f>IFERROR(__xludf.DUMMYFUNCTION("""COMPUTED_VALUE"""),"begudes")</f>
        <v>begudes</v>
      </c>
      <c r="C41" s="8" t="str">
        <f>IFERROR(__xludf.DUMMYFUNCTION("""COMPUTED_VALUE"""),"TÒNICA")</f>
        <v>TÒNICA</v>
      </c>
      <c r="D41" s="8" t="str">
        <f>IFERROR(__xludf.DUMMYFUNCTION("""COMPUTED_VALUE"""),"")</f>
        <v/>
      </c>
      <c r="E41" s="9">
        <f>IFERROR(__xludf.DUMMYFUNCTION("""COMPUTED_VALUE"""),2.5)</f>
        <v>2.5</v>
      </c>
      <c r="F41" s="8" t="str">
        <f>IFERROR(__xludf.DUMMYFUNCTION("""COMPUTED_VALUE"""),"")</f>
        <v/>
      </c>
    </row>
    <row r="42">
      <c r="A42" s="8" t="str">
        <f>IFERROR(__xludf.DUMMYFUNCTION("""COMPUTED_VALUE"""),"BC-069")</f>
        <v>BC-069</v>
      </c>
      <c r="B42" s="8" t="str">
        <f>IFERROR(__xludf.DUMMYFUNCTION("""COMPUTED_VALUE"""),"begudes")</f>
        <v>begudes</v>
      </c>
      <c r="C42" s="8" t="str">
        <f>IFERROR(__xludf.DUMMYFUNCTION("""COMPUTED_VALUE"""),"BITTER KAS")</f>
        <v>BITTER KAS</v>
      </c>
      <c r="D42" s="8" t="str">
        <f>IFERROR(__xludf.DUMMYFUNCTION("""COMPUTED_VALUE"""),"")</f>
        <v/>
      </c>
      <c r="E42" s="9">
        <f>IFERROR(__xludf.DUMMYFUNCTION("""COMPUTED_VALUE"""),2.5)</f>
        <v>2.5</v>
      </c>
      <c r="F42" s="8" t="str">
        <f>IFERROR(__xludf.DUMMYFUNCTION("""COMPUTED_VALUE"""),"")</f>
        <v/>
      </c>
    </row>
    <row r="43">
      <c r="A43" s="8" t="str">
        <f>IFERROR(__xludf.DUMMYFUNCTION("""COMPUTED_VALUE"""),"BC-070")</f>
        <v>BC-070</v>
      </c>
      <c r="B43" s="8" t="str">
        <f>IFERROR(__xludf.DUMMYFUNCTION("""COMPUTED_VALUE"""),"begudes")</f>
        <v>begudes</v>
      </c>
      <c r="C43" s="8" t="str">
        <f>IFERROR(__xludf.DUMMYFUNCTION("""COMPUTED_VALUE"""),"SOLAN DE CABRAS")</f>
        <v>SOLAN DE CABRAS</v>
      </c>
      <c r="D43" s="8" t="str">
        <f>IFERROR(__xludf.DUMMYFUNCTION("""COMPUTED_VALUE"""),"")</f>
        <v/>
      </c>
      <c r="E43" s="9">
        <f>IFERROR(__xludf.DUMMYFUNCTION("""COMPUTED_VALUE"""),2.5)</f>
        <v>2.5</v>
      </c>
      <c r="F43" s="8" t="str">
        <f>IFERROR(__xludf.DUMMYFUNCTION("""COMPUTED_VALUE"""),"")</f>
        <v/>
      </c>
    </row>
    <row r="44">
      <c r="A44" s="8" t="str">
        <f>IFERROR(__xludf.DUMMYFUNCTION("""COMPUTED_VALUE"""),"BC-071")</f>
        <v>BC-071</v>
      </c>
      <c r="B44" s="8" t="str">
        <f>IFERROR(__xludf.DUMMYFUNCTION("""COMPUTED_VALUE"""),"begudes")</f>
        <v>begudes</v>
      </c>
      <c r="C44" s="8" t="str">
        <f>IFERROR(__xludf.DUMMYFUNCTION("""COMPUTED_VALUE"""),"VICHY CATALAN")</f>
        <v>VICHY CATALAN</v>
      </c>
      <c r="D44" s="8" t="str">
        <f>IFERROR(__xludf.DUMMYFUNCTION("""COMPUTED_VALUE"""),"")</f>
        <v/>
      </c>
      <c r="E44" s="9">
        <f>IFERROR(__xludf.DUMMYFUNCTION("""COMPUTED_VALUE"""),2.5)</f>
        <v>2.5</v>
      </c>
      <c r="F44" s="8" t="str">
        <f>IFERROR(__xludf.DUMMYFUNCTION("""COMPUTED_VALUE"""),"")</f>
        <v/>
      </c>
    </row>
    <row r="45">
      <c r="A45" s="8" t="str">
        <f>IFERROR(__xludf.DUMMYFUNCTION("""COMPUTED_VALUE"""),"BC-072")</f>
        <v>BC-072</v>
      </c>
      <c r="B45" s="8" t="str">
        <f>IFERROR(__xludf.DUMMYFUNCTION("""COMPUTED_VALUE"""),"begudes")</f>
        <v>begudes</v>
      </c>
      <c r="C45" s="8" t="str">
        <f>IFERROR(__xludf.DUMMYFUNCTION("""COMPUTED_VALUE"""),"AIGUA S. PELLEGRINO")</f>
        <v>AIGUA S. PELLEGRINO</v>
      </c>
      <c r="D45" s="8" t="str">
        <f>IFERROR(__xludf.DUMMYFUNCTION("""COMPUTED_VALUE"""),"")</f>
        <v/>
      </c>
      <c r="E45" s="9">
        <f>IFERROR(__xludf.DUMMYFUNCTION("""COMPUTED_VALUE"""),4.0)</f>
        <v>4</v>
      </c>
      <c r="F45" s="8" t="str">
        <f>IFERROR(__xludf.DUMMYFUNCTION("""COMPUTED_VALUE"""),"")</f>
        <v/>
      </c>
    </row>
    <row r="46">
      <c r="A46" s="8" t="str">
        <f>IFERROR(__xludf.DUMMYFUNCTION("""COMPUTED_VALUE"""),"BC-085")</f>
        <v>BC-085</v>
      </c>
      <c r="B46" s="8" t="str">
        <f>IFERROR(__xludf.DUMMYFUNCTION("""COMPUTED_VALUE"""),"cerveses")</f>
        <v>cerveses</v>
      </c>
      <c r="C46" s="8" t="str">
        <f>IFERROR(__xludf.DUMMYFUNCTION("""COMPUTED_VALUE"""),"LAGER ESTRELLA ANDORRA")</f>
        <v>LAGER ESTRELLA ANDORRA</v>
      </c>
      <c r="D46" s="8" t="str">
        <f>IFERROR(__xludf.DUMMYFUNCTION("""COMPUTED_VALUE"""),"Cervesa clara i refrescant, de malta suau i final net. Alc. 4,5 %.")</f>
        <v>Cervesa clara i refrescant, de malta suau i final net. Alc. 4,5 %.</v>
      </c>
      <c r="E46" s="9">
        <f>IFERROR(__xludf.DUMMYFUNCTION("""COMPUTED_VALUE"""),3.6)</f>
        <v>3.6</v>
      </c>
      <c r="F46" s="8" t="str">
        <f>IFERROR(__xludf.DUMMYFUNCTION("""COMPUTED_VALUE"""),"")</f>
        <v/>
      </c>
    </row>
    <row r="47">
      <c r="A47" s="8" t="str">
        <f>IFERROR(__xludf.DUMMYFUNCTION("""COMPUTED_VALUE"""),"BC-086")</f>
        <v>BC-086</v>
      </c>
      <c r="B47" s="8" t="str">
        <f>IFERROR(__xludf.DUMMYFUNCTION("""COMPUTED_VALUE"""),"cerveses")</f>
        <v>cerveses</v>
      </c>
      <c r="C47" s="8" t="str">
        <f>IFERROR(__xludf.DUMMYFUNCTION("""COMPUTED_VALUE"""),"TORRADA ANDBEER")</f>
        <v>TORRADA ANDBEER</v>
      </c>
      <c r="D47" s="8" t="str">
        <f>IFERROR(__xludf.DUMMYFUNCTION("""COMPUTED_VALUE"""),"Cos ple, malta torrada amb aromes de pa negre i lleugers tocs de cafè. Alc. 6,3 %.")</f>
        <v>Cos ple, malta torrada amb aromes de pa negre i lleugers tocs de cafè. Alc. 6,3 %.</v>
      </c>
      <c r="E47" s="9">
        <f>IFERROR(__xludf.DUMMYFUNCTION("""COMPUTED_VALUE"""),3.6)</f>
        <v>3.6</v>
      </c>
      <c r="F47" s="8" t="str">
        <f>IFERROR(__xludf.DUMMYFUNCTION("""COMPUTED_VALUE"""),"")</f>
        <v/>
      </c>
    </row>
    <row r="48">
      <c r="A48" s="8" t="str">
        <f>IFERROR(__xludf.DUMMYFUNCTION("""COMPUTED_VALUE"""),"BC-087")</f>
        <v>BC-087</v>
      </c>
      <c r="B48" s="8" t="str">
        <f>IFERROR(__xludf.DUMMYFUNCTION("""COMPUTED_VALUE"""),"cerveses")</f>
        <v>cerveses</v>
      </c>
      <c r="C48" s="8" t="str">
        <f>IFERROR(__xludf.DUMMYFUNCTION("""COMPUTED_VALUE"""),"AMBER ALE ANDBEER")</f>
        <v>AMBER ALE ANDBEER</v>
      </c>
      <c r="D48" s="8" t="str">
        <f>IFERROR(__xludf.DUMMYFUNCTION("""COMPUTED_VALUE"""),"Color coure, amb notes de caramel i malta torrada, equilibrada amb el llúpol. Alc. 6,3 %.")</f>
        <v>Color coure, amb notes de caramel i malta torrada, equilibrada amb el llúpol. Alc. 6,3 %.</v>
      </c>
      <c r="E48" s="9">
        <f>IFERROR(__xludf.DUMMYFUNCTION("""COMPUTED_VALUE"""),3.6)</f>
        <v>3.6</v>
      </c>
      <c r="F48" s="8" t="str">
        <f>IFERROR(__xludf.DUMMYFUNCTION("""COMPUTED_VALUE"""),"")</f>
        <v/>
      </c>
    </row>
    <row r="49">
      <c r="A49" s="8" t="str">
        <f>IFERROR(__xludf.DUMMYFUNCTION("""COMPUTED_VALUE"""),"BC-088")</f>
        <v>BC-088</v>
      </c>
      <c r="B49" s="8" t="str">
        <f>IFERROR(__xludf.DUMMYFUNCTION("""COMPUTED_VALUE"""),"cerveses")</f>
        <v>cerveses</v>
      </c>
      <c r="C49" s="8" t="str">
        <f>IFERROR(__xludf.DUMMYFUNCTION("""COMPUTED_VALUE"""),"IPA DE MUNTANYA ANDBEER")</f>
        <v>IPA DE MUNTANYA ANDBEER</v>
      </c>
      <c r="D49" s="8" t="str">
        <f>IFERROR(__xludf.DUMMYFUNCTION("""COMPUTED_VALUE"""),"IPA aromàtica amb notes de pi i fruita tropical, cos mitjà i final amarg. Alc. 7,1 %.")</f>
        <v>IPA aromàtica amb notes de pi i fruita tropical, cos mitjà i final amarg. Alc. 7,1 %.</v>
      </c>
      <c r="E49" s="9">
        <f>IFERROR(__xludf.DUMMYFUNCTION("""COMPUTED_VALUE"""),4.0)</f>
        <v>4</v>
      </c>
      <c r="F49" s="8" t="str">
        <f>IFERROR(__xludf.DUMMYFUNCTION("""COMPUTED_VALUE"""),"")</f>
        <v/>
      </c>
    </row>
    <row r="50">
      <c r="A50" s="8" t="str">
        <f>IFERROR(__xludf.DUMMYFUNCTION("""COMPUTED_VALUE"""),"BC-SUP-001")</f>
        <v>BC-SUP-001</v>
      </c>
      <c r="B50" s="8" t="str">
        <f>IFERROR(__xludf.DUMMYFUNCTION("""COMPUTED_VALUE"""),"suplements")</f>
        <v>suplements</v>
      </c>
      <c r="C50" s="8" t="str">
        <f>IFERROR(__xludf.DUMMYFUNCTION("""COMPUTED_VALUE"""),"PERNIL DOLÇ")</f>
        <v>PERNIL DOLÇ</v>
      </c>
      <c r="D50" s="8" t="str">
        <f>IFERROR(__xludf.DUMMYFUNCTION("""COMPUTED_VALUE"""),"")</f>
        <v/>
      </c>
      <c r="E50" s="9">
        <f>IFERROR(__xludf.DUMMYFUNCTION("""COMPUTED_VALUE"""),3.0)</f>
        <v>3</v>
      </c>
      <c r="F50" s="8" t="str">
        <f>IFERROR(__xludf.DUMMYFUNCTION("""COMPUTED_VALUE"""),"")</f>
        <v/>
      </c>
    </row>
    <row r="51">
      <c r="A51" s="8" t="str">
        <f>IFERROR(__xludf.DUMMYFUNCTION("""COMPUTED_VALUE"""),"BC-SUP-002")</f>
        <v>BC-SUP-002</v>
      </c>
      <c r="B51" s="8" t="str">
        <f>IFERROR(__xludf.DUMMYFUNCTION("""COMPUTED_VALUE"""),"suplements")</f>
        <v>suplements</v>
      </c>
      <c r="C51" s="8" t="str">
        <f>IFERROR(__xludf.DUMMYFUNCTION("""COMPUTED_VALUE"""),"MOZZARELLA")</f>
        <v>MOZZARELLA</v>
      </c>
      <c r="D51" s="8" t="str">
        <f>IFERROR(__xludf.DUMMYFUNCTION("""COMPUTED_VALUE"""),"")</f>
        <v/>
      </c>
      <c r="E51" s="9">
        <f>IFERROR(__xludf.DUMMYFUNCTION("""COMPUTED_VALUE"""),3.0)</f>
        <v>3</v>
      </c>
      <c r="F51" s="8" t="str">
        <f>IFERROR(__xludf.DUMMYFUNCTION("""COMPUTED_VALUE"""),"")</f>
        <v/>
      </c>
    </row>
    <row r="52">
      <c r="A52" s="8" t="str">
        <f>IFERROR(__xludf.DUMMYFUNCTION("""COMPUTED_VALUE"""),"BC-SUP-003")</f>
        <v>BC-SUP-003</v>
      </c>
      <c r="B52" s="8" t="str">
        <f>IFERROR(__xludf.DUMMYFUNCTION("""COMPUTED_VALUE"""),"suplements")</f>
        <v>suplements</v>
      </c>
      <c r="C52" s="8" t="str">
        <f>IFERROR(__xludf.DUMMYFUNCTION("""COMPUTED_VALUE"""),"ANXOVES")</f>
        <v>ANXOVES</v>
      </c>
      <c r="D52" s="8" t="str">
        <f>IFERROR(__xludf.DUMMYFUNCTION("""COMPUTED_VALUE"""),"6 unitats")</f>
        <v>6 unitats</v>
      </c>
      <c r="E52" s="9">
        <f>IFERROR(__xludf.DUMMYFUNCTION("""COMPUTED_VALUE"""),4.5)</f>
        <v>4.5</v>
      </c>
      <c r="F52" s="8" t="str">
        <f>IFERROR(__xludf.DUMMYFUNCTION("""COMPUTED_VALUE"""),"")</f>
        <v/>
      </c>
    </row>
    <row r="53">
      <c r="A53" s="8" t="str">
        <f>IFERROR(__xludf.DUMMYFUNCTION("""COMPUTED_VALUE"""),"BC-SUP-004")</f>
        <v>BC-SUP-004</v>
      </c>
      <c r="B53" s="8" t="str">
        <f>IFERROR(__xludf.DUMMYFUNCTION("""COMPUTED_VALUE"""),"suplements")</f>
        <v>suplements</v>
      </c>
      <c r="C53" s="8" t="str">
        <f>IFERROR(__xludf.DUMMYFUNCTION("""COMPUTED_VALUE"""),"CHAMPIGNON")</f>
        <v>CHAMPIGNON</v>
      </c>
      <c r="D53" s="8" t="str">
        <f>IFERROR(__xludf.DUMMYFUNCTION("""COMPUTED_VALUE"""),"")</f>
        <v/>
      </c>
      <c r="E53" s="9">
        <f>IFERROR(__xludf.DUMMYFUNCTION("""COMPUTED_VALUE"""),2.25)</f>
        <v>2.25</v>
      </c>
      <c r="F53" s="8" t="str">
        <f>IFERROR(__xludf.DUMMYFUNCTION("""COMPUTED_VALUE"""),"")</f>
        <v/>
      </c>
    </row>
    <row r="54">
      <c r="A54" s="8" t="str">
        <f>IFERROR(__xludf.DUMMYFUNCTION("""COMPUTED_VALUE"""),"BC-SUP-005")</f>
        <v>BC-SUP-005</v>
      </c>
      <c r="B54" s="8" t="str">
        <f>IFERROR(__xludf.DUMMYFUNCTION("""COMPUTED_VALUE"""),"suplements")</f>
        <v>suplements</v>
      </c>
      <c r="C54" s="8" t="str">
        <f>IFERROR(__xludf.DUMMYFUNCTION("""COMPUTED_VALUE"""),"CARXOFA")</f>
        <v>CARXOFA</v>
      </c>
      <c r="D54" s="8" t="str">
        <f>IFERROR(__xludf.DUMMYFUNCTION("""COMPUTED_VALUE"""),"")</f>
        <v/>
      </c>
      <c r="E54" s="9">
        <f>IFERROR(__xludf.DUMMYFUNCTION("""COMPUTED_VALUE"""),2.25)</f>
        <v>2.25</v>
      </c>
      <c r="F54" s="8" t="str">
        <f>IFERROR(__xludf.DUMMYFUNCTION("""COMPUTED_VALUE"""),"")</f>
        <v/>
      </c>
    </row>
    <row r="55">
      <c r="A55" s="8" t="str">
        <f>IFERROR(__xludf.DUMMYFUNCTION("""COMPUTED_VALUE"""),"BC-SUP-006")</f>
        <v>BC-SUP-006</v>
      </c>
      <c r="B55" s="8" t="str">
        <f>IFERROR(__xludf.DUMMYFUNCTION("""COMPUTED_VALUE"""),"suplements")</f>
        <v>suplements</v>
      </c>
      <c r="C55" s="8" t="str">
        <f>IFERROR(__xludf.DUMMYFUNCTION("""COMPUTED_VALUE"""),"TONYINA")</f>
        <v>TONYINA</v>
      </c>
      <c r="D55" s="8" t="str">
        <f>IFERROR(__xludf.DUMMYFUNCTION("""COMPUTED_VALUE"""),"")</f>
        <v/>
      </c>
      <c r="E55" s="9">
        <f>IFERROR(__xludf.DUMMYFUNCTION("""COMPUTED_VALUE"""),3.5)</f>
        <v>3.5</v>
      </c>
      <c r="F55" s="8" t="str">
        <f>IFERROR(__xludf.DUMMYFUNCTION("""COMPUTED_VALUE"""),"")</f>
        <v/>
      </c>
    </row>
    <row r="56">
      <c r="A56" s="8" t="str">
        <f>IFERROR(__xludf.DUMMYFUNCTION("""COMPUTED_VALUE"""),"BC-SUP-007")</f>
        <v>BC-SUP-007</v>
      </c>
      <c r="B56" s="8" t="str">
        <f>IFERROR(__xludf.DUMMYFUNCTION("""COMPUTED_VALUE"""),"suplements")</f>
        <v>suplements</v>
      </c>
      <c r="C56" s="8" t="str">
        <f>IFERROR(__xludf.DUMMYFUNCTION("""COMPUTED_VALUE"""),"CEBA")</f>
        <v>CEBA</v>
      </c>
      <c r="D56" s="8" t="str">
        <f>IFERROR(__xludf.DUMMYFUNCTION("""COMPUTED_VALUE"""),"")</f>
        <v/>
      </c>
      <c r="E56" s="9">
        <f>IFERROR(__xludf.DUMMYFUNCTION("""COMPUTED_VALUE"""),1.5)</f>
        <v>1.5</v>
      </c>
      <c r="F56" s="8" t="str">
        <f>IFERROR(__xludf.DUMMYFUNCTION("""COMPUTED_VALUE"""),"")</f>
        <v/>
      </c>
    </row>
    <row r="57">
      <c r="A57" s="8" t="str">
        <f>IFERROR(__xludf.DUMMYFUNCTION("""COMPUTED_VALUE"""),"BC-SUP-008")</f>
        <v>BC-SUP-008</v>
      </c>
      <c r="B57" s="8" t="str">
        <f>IFERROR(__xludf.DUMMYFUNCTION("""COMPUTED_VALUE"""),"suplements")</f>
        <v>suplements</v>
      </c>
      <c r="C57" s="8" t="str">
        <f>IFERROR(__xludf.DUMMYFUNCTION("""COMPUTED_VALUE"""),"OU")</f>
        <v>OU</v>
      </c>
      <c r="D57" s="8" t="str">
        <f>IFERROR(__xludf.DUMMYFUNCTION("""COMPUTED_VALUE"""),"")</f>
        <v/>
      </c>
      <c r="E57" s="9">
        <f>IFERROR(__xludf.DUMMYFUNCTION("""COMPUTED_VALUE"""),1.5)</f>
        <v>1.5</v>
      </c>
      <c r="F57" s="8" t="str">
        <f>IFERROR(__xludf.DUMMYFUNCTION("""COMPUTED_VALUE"""),"")</f>
        <v/>
      </c>
    </row>
    <row r="58">
      <c r="A58" s="8" t="str">
        <f>IFERROR(__xludf.DUMMYFUNCTION("""COMPUTED_VALUE"""),"BC-SUP-009")</f>
        <v>BC-SUP-009</v>
      </c>
      <c r="B58" s="8" t="str">
        <f>IFERROR(__xludf.DUMMYFUNCTION("""COMPUTED_VALUE"""),"suplements")</f>
        <v>suplements</v>
      </c>
      <c r="C58" s="8" t="str">
        <f>IFERROR(__xludf.DUMMYFUNCTION("""COMPUTED_VALUE"""),"BURRATA")</f>
        <v>BURRATA</v>
      </c>
      <c r="D58" s="8" t="str">
        <f>IFERROR(__xludf.DUMMYFUNCTION("""COMPUTED_VALUE"""),"")</f>
        <v/>
      </c>
      <c r="E58" s="9">
        <f>IFERROR(__xludf.DUMMYFUNCTION("""COMPUTED_VALUE"""),5.75)</f>
        <v>5.75</v>
      </c>
      <c r="F58" s="8" t="str">
        <f>IFERROR(__xludf.DUMMYFUNCTION("""COMPUTED_VALUE"""),"")</f>
        <v/>
      </c>
    </row>
    <row r="59">
      <c r="A59" s="8" t="str">
        <f>IFERROR(__xludf.DUMMYFUNCTION("""COMPUTED_VALUE"""),"BC-SUP-010")</f>
        <v>BC-SUP-010</v>
      </c>
      <c r="B59" s="8" t="str">
        <f>IFERROR(__xludf.DUMMYFUNCTION("""COMPUTED_VALUE"""),"suplements")</f>
        <v>suplements</v>
      </c>
      <c r="C59" s="8" t="str">
        <f>IFERROR(__xludf.DUMMYFUNCTION("""COMPUTED_VALUE"""),"PERNIL IBÈRIC")</f>
        <v>PERNIL IBÈRIC</v>
      </c>
      <c r="D59" s="8" t="str">
        <f>IFERROR(__xludf.DUMMYFUNCTION("""COMPUTED_VALUE"""),"")</f>
        <v/>
      </c>
      <c r="E59" s="9">
        <f>IFERROR(__xludf.DUMMYFUNCTION("""COMPUTED_VALUE"""),5.75)</f>
        <v>5.75</v>
      </c>
      <c r="F59" s="8" t="str">
        <f>IFERROR(__xludf.DUMMYFUNCTION("""COMPUTED_VALUE"""),"")</f>
        <v/>
      </c>
    </row>
    <row r="60">
      <c r="A60" s="8" t="str">
        <f>IFERROR(__xludf.DUMMYFUNCTION("""COMPUTED_VALUE"""),"BC-SUP-011")</f>
        <v>BC-SUP-011</v>
      </c>
      <c r="B60" s="8" t="str">
        <f>IFERROR(__xludf.DUMMYFUNCTION("""COMPUTED_VALUE"""),"suplements")</f>
        <v>suplements</v>
      </c>
      <c r="C60" s="8" t="str">
        <f>IFERROR(__xludf.DUMMYFUNCTION("""COMPUTED_VALUE"""),"VERDURES EXTRA")</f>
        <v>VERDURES EXTRA</v>
      </c>
      <c r="D60" s="8" t="str">
        <f>IFERROR(__xludf.DUMMYFUNCTION("""COMPUTED_VALUE"""),"")</f>
        <v/>
      </c>
      <c r="E60" s="9">
        <f>IFERROR(__xludf.DUMMYFUNCTION("""COMPUTED_VALUE"""),2.25)</f>
        <v>2.25</v>
      </c>
      <c r="F60" s="8" t="str">
        <f>IFERROR(__xludf.DUMMYFUNCTION("""COMPUTED_VALUE"""),"")</f>
        <v/>
      </c>
    </row>
    <row r="61">
      <c r="A61" s="8" t="str">
        <f>IFERROR(__xludf.DUMMYFUNCTION("""COMPUTED_VALUE"""),"BC-SUP-012")</f>
        <v>BC-SUP-012</v>
      </c>
      <c r="B61" s="8" t="str">
        <f>IFERROR(__xludf.DUMMYFUNCTION("""COMPUTED_VALUE"""),"suplements")</f>
        <v>suplements</v>
      </c>
      <c r="C61" s="8" t="str">
        <f>IFERROR(__xludf.DUMMYFUNCTION("""COMPUTED_VALUE"""),"TOMÀQUET")</f>
        <v>TOMÀQUET</v>
      </c>
      <c r="D61" s="8" t="str">
        <f>IFERROR(__xludf.DUMMYFUNCTION("""COMPUTED_VALUE"""),"")</f>
        <v/>
      </c>
      <c r="E61" s="9">
        <f>IFERROR(__xludf.DUMMYFUNCTION("""COMPUTED_VALUE"""),2.25)</f>
        <v>2.25</v>
      </c>
      <c r="F61" s="8" t="str">
        <f>IFERROR(__xludf.DUMMYFUNCTION("""COMPUTED_VALUE"""),"")</f>
        <v/>
      </c>
    </row>
    <row r="62">
      <c r="A62" s="8" t="str">
        <f>IFERROR(__xludf.DUMMYFUNCTION("""COMPUTED_VALUE"""),"BC-SUP-013")</f>
        <v>BC-SUP-013</v>
      </c>
      <c r="B62" s="8" t="str">
        <f>IFERROR(__xludf.DUMMYFUNCTION("""COMPUTED_VALUE"""),"suplements")</f>
        <v>suplements</v>
      </c>
      <c r="C62" s="8" t="str">
        <f>IFERROR(__xludf.DUMMYFUNCTION("""COMPUTED_VALUE"""),"SALSES")</f>
        <v>SALSES</v>
      </c>
      <c r="D62" s="8" t="str">
        <f>IFERROR(__xludf.DUMMYFUNCTION("""COMPUTED_VALUE"""),"")</f>
        <v/>
      </c>
      <c r="E62" s="9">
        <f>IFERROR(__xludf.DUMMYFUNCTION("""COMPUTED_VALUE"""),2.0)</f>
        <v>2</v>
      </c>
      <c r="F62" s="8" t="str">
        <f>IFERROR(__xludf.DUMMYFUNCTION("""COMPUTED_VALUE"""),"")</f>
        <v/>
      </c>
    </row>
    <row r="63">
      <c r="A63" s="8" t="str">
        <f>IFERROR(__xludf.DUMMYFUNCTION("""COMPUTED_VALUE"""),"BC-SUP-014")</f>
        <v>BC-SUP-014</v>
      </c>
      <c r="B63" s="8" t="str">
        <f>IFERROR(__xludf.DUMMYFUNCTION("""COMPUTED_VALUE"""),"suplements")</f>
        <v>suplements</v>
      </c>
      <c r="C63" s="8" t="str">
        <f>IFERROR(__xludf.DUMMYFUNCTION("""COMPUTED_VALUE"""),"GUANCIALE")</f>
        <v>GUANCIALE</v>
      </c>
      <c r="D63" s="8" t="str">
        <f>IFERROR(__xludf.DUMMYFUNCTION("""COMPUTED_VALUE"""),"")</f>
        <v/>
      </c>
      <c r="E63" s="9">
        <f>IFERROR(__xludf.DUMMYFUNCTION("""COMPUTED_VALUE"""),3.75)</f>
        <v>3.75</v>
      </c>
      <c r="F63" s="8" t="str">
        <f>IFERROR(__xludf.DUMMYFUNCTION("""COMPUTED_VALUE"""),"")</f>
        <v/>
      </c>
    </row>
    <row r="64">
      <c r="A64" s="8" t="str">
        <f>IFERROR(__xludf.DUMMYFUNCTION("""COMPUTED_VALUE"""),"BC-SUP-015")</f>
        <v>BC-SUP-015</v>
      </c>
      <c r="B64" s="8" t="str">
        <f>IFERROR(__xludf.DUMMYFUNCTION("""COMPUTED_VALUE"""),"suplements")</f>
        <v>suplements</v>
      </c>
      <c r="C64" s="8" t="str">
        <f>IFERROR(__xludf.DUMMYFUNCTION("""COMPUTED_VALUE"""),"PARMESÀ")</f>
        <v>PARMESÀ</v>
      </c>
      <c r="D64" s="8" t="str">
        <f>IFERROR(__xludf.DUMMYFUNCTION("""COMPUTED_VALUE"""),"")</f>
        <v/>
      </c>
      <c r="E64" s="9">
        <f>IFERROR(__xludf.DUMMYFUNCTION("""COMPUTED_VALUE"""),3.5)</f>
        <v>3.5</v>
      </c>
      <c r="F64" s="8" t="str">
        <f>IFERROR(__xludf.DUMMYFUNCTION("""COMPUTED_VALUE"""),"")</f>
        <v/>
      </c>
    </row>
    <row r="65">
      <c r="A65" s="8" t="str">
        <f>IFERROR(__xludf.DUMMYFUNCTION("""COMPUTED_VALUE"""),"BC-SUP-016")</f>
        <v>BC-SUP-016</v>
      </c>
      <c r="B65" s="8" t="str">
        <f>IFERROR(__xludf.DUMMYFUNCTION("""COMPUTED_VALUE"""),"suplements")</f>
        <v>suplements</v>
      </c>
      <c r="C65" s="8" t="str">
        <f>IFERROR(__xludf.DUMMYFUNCTION("""COMPUTED_VALUE"""),"GAMBES")</f>
        <v>GAMBES</v>
      </c>
      <c r="D65" s="8" t="str">
        <f>IFERROR(__xludf.DUMMYFUNCTION("""COMPUTED_VALUE"""),"")</f>
        <v/>
      </c>
      <c r="E65" s="9">
        <f>IFERROR(__xludf.DUMMYFUNCTION("""COMPUTED_VALUE"""),5.25)</f>
        <v>5.25</v>
      </c>
      <c r="F65" s="8" t="str">
        <f>IFERROR(__xludf.DUMMYFUNCTION("""COMPUTED_VALUE"""),"")</f>
        <v/>
      </c>
    </row>
    <row r="66">
      <c r="A66" s="8" t="str">
        <f>IFERROR(__xludf.DUMMYFUNCTION("""COMPUTED_VALUE"""),"BC-SUP-017")</f>
        <v>BC-SUP-017</v>
      </c>
      <c r="B66" s="8" t="str">
        <f>IFERROR(__xludf.DUMMYFUNCTION("""COMPUTED_VALUE"""),"suplements")</f>
        <v>suplements</v>
      </c>
      <c r="C66" s="8" t="str">
        <f>IFERROR(__xludf.DUMMYFUNCTION("""COMPUTED_VALUE"""),"OLIVES")</f>
        <v>OLIVES</v>
      </c>
      <c r="D66" s="8" t="str">
        <f>IFERROR(__xludf.DUMMYFUNCTION("""COMPUTED_VALUE"""),"")</f>
        <v/>
      </c>
      <c r="E66" s="9">
        <f>IFERROR(__xludf.DUMMYFUNCTION("""COMPUTED_VALUE"""),1.5)</f>
        <v>1.5</v>
      </c>
      <c r="F66" s="8" t="str">
        <f>IFERROR(__xludf.DUMMYFUNCTION("""COMPUTED_VALUE"""),"")</f>
        <v/>
      </c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40.13"/>
  </cols>
  <sheetData>
    <row r="1" ht="28.5" customHeight="1">
      <c r="A1" s="70" t="s">
        <v>0</v>
      </c>
      <c r="B1" s="70" t="s">
        <v>660</v>
      </c>
      <c r="C1" s="70" t="s">
        <v>661</v>
      </c>
      <c r="D1" s="70" t="s">
        <v>662</v>
      </c>
      <c r="E1" s="71" t="s">
        <v>663</v>
      </c>
      <c r="F1" s="71" t="s">
        <v>664</v>
      </c>
      <c r="G1" s="71" t="s">
        <v>23</v>
      </c>
      <c r="H1" s="71" t="s">
        <v>24</v>
      </c>
      <c r="I1" s="71" t="s">
        <v>665</v>
      </c>
    </row>
    <row r="2">
      <c r="A2" s="2" t="s">
        <v>649</v>
      </c>
      <c r="B2" s="2" t="s">
        <v>666</v>
      </c>
      <c r="C2" s="2" t="s">
        <v>650</v>
      </c>
      <c r="D2" s="2" t="s">
        <v>651</v>
      </c>
      <c r="E2" s="2">
        <v>15.5</v>
      </c>
      <c r="F2" s="2" t="s">
        <v>667</v>
      </c>
      <c r="G2" s="8" t="b">
        <f>MAESTRA!O109</f>
        <v>0</v>
      </c>
      <c r="H2" s="8" t="b">
        <f>MAESTRA!P109</f>
        <v>0</v>
      </c>
      <c r="I2" s="8" t="b">
        <f>MAESTRA!Q109</f>
        <v>0</v>
      </c>
    </row>
    <row r="3">
      <c r="A3" s="2" t="s">
        <v>652</v>
      </c>
      <c r="B3" s="2" t="s">
        <v>666</v>
      </c>
      <c r="C3" s="2" t="s">
        <v>653</v>
      </c>
      <c r="D3" s="2" t="s">
        <v>654</v>
      </c>
      <c r="E3" s="2">
        <v>16.5</v>
      </c>
      <c r="F3" s="2" t="s">
        <v>667</v>
      </c>
      <c r="G3" s="8" t="b">
        <f>MAESTRA!O110</f>
        <v>0</v>
      </c>
      <c r="H3" s="8" t="b">
        <f>MAESTRA!P110</f>
        <v>0</v>
      </c>
      <c r="I3" s="8" t="b">
        <f>MAESTRA!Q110</f>
        <v>0</v>
      </c>
    </row>
    <row r="4">
      <c r="A4" s="2" t="s">
        <v>655</v>
      </c>
      <c r="B4" s="2" t="s">
        <v>668</v>
      </c>
      <c r="C4" s="2" t="s">
        <v>656</v>
      </c>
      <c r="D4" s="2" t="s">
        <v>4</v>
      </c>
      <c r="E4" s="2">
        <v>15.0</v>
      </c>
      <c r="F4" s="2" t="s">
        <v>667</v>
      </c>
      <c r="G4" s="8" t="b">
        <f>MAESTRA!O111</f>
        <v>0</v>
      </c>
      <c r="H4" s="8" t="b">
        <f>MAESTRA!P111</f>
        <v>0</v>
      </c>
      <c r="I4" s="8" t="b">
        <f>MAESTRA!Q111</f>
        <v>0</v>
      </c>
    </row>
    <row r="5">
      <c r="A5" s="2" t="s">
        <v>657</v>
      </c>
      <c r="B5" s="2" t="s">
        <v>677</v>
      </c>
      <c r="C5" s="2" t="s">
        <v>658</v>
      </c>
      <c r="D5" s="2" t="s">
        <v>659</v>
      </c>
      <c r="E5" s="2">
        <v>18.0</v>
      </c>
      <c r="F5" s="2" t="s">
        <v>667</v>
      </c>
      <c r="G5" s="8" t="b">
        <f>MAESTRA!O112</f>
        <v>0</v>
      </c>
      <c r="H5" s="8" t="b">
        <f>MAESTRA!P112</f>
        <v>0</v>
      </c>
      <c r="I5" s="8" t="b">
        <f>MAESTRA!Q112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37.63"/>
    <col customWidth="1" min="3" max="3" width="13.88"/>
    <col customWidth="1" min="4" max="17" width="15.75"/>
    <col customWidth="1" min="18" max="19" width="41.38"/>
  </cols>
  <sheetData>
    <row r="1">
      <c r="A1" s="70" t="s">
        <v>0</v>
      </c>
      <c r="B1" s="70" t="s">
        <v>8</v>
      </c>
      <c r="C1" s="70" t="s">
        <v>5</v>
      </c>
      <c r="D1" s="72" t="s">
        <v>669</v>
      </c>
      <c r="E1" s="72" t="s">
        <v>670</v>
      </c>
      <c r="F1" s="72" t="s">
        <v>671</v>
      </c>
      <c r="G1" s="72" t="s">
        <v>672</v>
      </c>
      <c r="H1" s="72" t="s">
        <v>673</v>
      </c>
      <c r="I1" s="72" t="s">
        <v>674</v>
      </c>
      <c r="J1" s="72" t="s">
        <v>675</v>
      </c>
      <c r="K1" s="72" t="s">
        <v>676</v>
      </c>
      <c r="L1" s="72" t="s">
        <v>678</v>
      </c>
      <c r="M1" s="72" t="s">
        <v>679</v>
      </c>
      <c r="N1" s="72" t="s">
        <v>680</v>
      </c>
      <c r="O1" s="72" t="s">
        <v>681</v>
      </c>
      <c r="P1" s="72" t="s">
        <v>682</v>
      </c>
      <c r="Q1" s="72" t="s">
        <v>683</v>
      </c>
      <c r="R1" s="70" t="s">
        <v>685</v>
      </c>
      <c r="S1" s="70" t="s">
        <v>686</v>
      </c>
    </row>
    <row r="2">
      <c r="A2" s="3" t="s">
        <v>27</v>
      </c>
      <c r="B2" s="3" t="s">
        <v>29</v>
      </c>
      <c r="C2" s="3" t="s">
        <v>28</v>
      </c>
      <c r="D2" s="8"/>
      <c r="E2" s="8"/>
      <c r="F2" s="8"/>
      <c r="G2" s="8"/>
      <c r="H2" s="8"/>
      <c r="I2" s="2" t="b">
        <v>1</v>
      </c>
      <c r="J2" s="8"/>
      <c r="K2" s="8"/>
      <c r="L2" s="8"/>
      <c r="M2" s="8"/>
      <c r="N2" s="8"/>
      <c r="O2" s="8"/>
      <c r="P2" s="8"/>
      <c r="Q2" s="8"/>
      <c r="R2" s="2" t="s">
        <v>690</v>
      </c>
      <c r="S2" s="2" t="s">
        <v>691</v>
      </c>
    </row>
    <row r="3">
      <c r="A3" s="3" t="s">
        <v>52</v>
      </c>
      <c r="B3" s="3" t="s">
        <v>53</v>
      </c>
      <c r="C3" s="3" t="s">
        <v>28</v>
      </c>
      <c r="D3" s="8"/>
      <c r="E3" s="8"/>
      <c r="F3" s="8"/>
      <c r="G3" s="8"/>
      <c r="H3" s="8"/>
      <c r="I3" s="2" t="b">
        <v>1</v>
      </c>
      <c r="J3" s="8"/>
      <c r="K3" s="8"/>
      <c r="L3" s="8"/>
      <c r="M3" s="8"/>
      <c r="N3" s="8"/>
      <c r="O3" s="8"/>
      <c r="P3" s="8"/>
      <c r="Q3" s="8"/>
      <c r="R3" s="2" t="s">
        <v>690</v>
      </c>
      <c r="S3" s="2" t="s">
        <v>691</v>
      </c>
    </row>
    <row r="4">
      <c r="A4" s="3" t="s">
        <v>54</v>
      </c>
      <c r="B4" s="3" t="s">
        <v>55</v>
      </c>
      <c r="C4" s="3" t="s">
        <v>28</v>
      </c>
      <c r="D4" s="8"/>
      <c r="E4" s="8"/>
      <c r="F4" s="8"/>
      <c r="G4" s="8"/>
      <c r="H4" s="8"/>
      <c r="I4" s="2" t="b">
        <v>1</v>
      </c>
      <c r="J4" s="8"/>
      <c r="K4" s="2" t="b">
        <v>1</v>
      </c>
      <c r="L4" s="8"/>
      <c r="M4" s="8"/>
      <c r="N4" s="8"/>
      <c r="O4" s="8"/>
      <c r="P4" s="8"/>
      <c r="Q4" s="8"/>
      <c r="R4" s="2" t="s">
        <v>690</v>
      </c>
      <c r="S4" s="2" t="s">
        <v>691</v>
      </c>
    </row>
    <row r="5">
      <c r="A5" s="3" t="s">
        <v>56</v>
      </c>
      <c r="B5" s="3" t="s">
        <v>57</v>
      </c>
      <c r="C5" s="3" t="s">
        <v>28</v>
      </c>
      <c r="D5" s="8"/>
      <c r="E5" s="8"/>
      <c r="F5" s="8"/>
      <c r="G5" s="8"/>
      <c r="H5" s="8"/>
      <c r="I5" s="2" t="b">
        <v>1</v>
      </c>
      <c r="J5" s="2" t="b">
        <v>1</v>
      </c>
      <c r="K5" s="2" t="b">
        <v>1</v>
      </c>
      <c r="L5" s="8"/>
      <c r="M5" s="8"/>
      <c r="N5" s="8"/>
      <c r="O5" s="8"/>
      <c r="P5" s="8"/>
      <c r="Q5" s="8"/>
      <c r="R5" s="2" t="s">
        <v>690</v>
      </c>
      <c r="S5" s="2" t="s">
        <v>691</v>
      </c>
    </row>
    <row r="6">
      <c r="A6" s="3" t="s">
        <v>65</v>
      </c>
      <c r="B6" s="3" t="s">
        <v>66</v>
      </c>
      <c r="C6" s="3" t="s">
        <v>28</v>
      </c>
      <c r="D6" s="8"/>
      <c r="E6" s="8"/>
      <c r="F6" s="8"/>
      <c r="G6" s="8"/>
      <c r="H6" s="8"/>
      <c r="I6" s="8"/>
      <c r="J6" s="2" t="b">
        <v>1</v>
      </c>
      <c r="K6" s="8"/>
      <c r="L6" s="8"/>
      <c r="M6" s="2" t="b">
        <v>1</v>
      </c>
      <c r="N6" s="2" t="b">
        <v>1</v>
      </c>
      <c r="O6" s="8"/>
      <c r="P6" s="8"/>
      <c r="Q6" s="8"/>
      <c r="R6" s="2" t="s">
        <v>690</v>
      </c>
      <c r="S6" s="2" t="s">
        <v>691</v>
      </c>
    </row>
    <row r="7">
      <c r="A7" s="3" t="s">
        <v>71</v>
      </c>
      <c r="B7" s="3" t="s">
        <v>72</v>
      </c>
      <c r="C7" s="3" t="s">
        <v>28</v>
      </c>
      <c r="D7" s="8"/>
      <c r="E7" s="8"/>
      <c r="F7" s="8"/>
      <c r="G7" s="8"/>
      <c r="H7" s="2" t="b">
        <v>1</v>
      </c>
      <c r="I7" s="2" t="b">
        <v>1</v>
      </c>
      <c r="J7" s="8"/>
      <c r="K7" s="2" t="b">
        <v>1</v>
      </c>
      <c r="L7" s="8"/>
      <c r="M7" s="8"/>
      <c r="N7" s="8"/>
      <c r="O7" s="8"/>
      <c r="P7" s="8"/>
      <c r="Q7" s="2" t="b">
        <v>1</v>
      </c>
      <c r="R7" s="2" t="s">
        <v>690</v>
      </c>
      <c r="S7" s="2" t="s">
        <v>691</v>
      </c>
    </row>
    <row r="8">
      <c r="A8" s="3" t="s">
        <v>77</v>
      </c>
      <c r="B8" s="3" t="s">
        <v>78</v>
      </c>
      <c r="C8" s="3" t="s">
        <v>28</v>
      </c>
      <c r="D8" s="8"/>
      <c r="E8" s="8"/>
      <c r="F8" s="8"/>
      <c r="G8" s="8"/>
      <c r="H8" s="8"/>
      <c r="I8" s="8"/>
      <c r="J8" s="8"/>
      <c r="K8" s="2" t="b">
        <v>1</v>
      </c>
      <c r="L8" s="8"/>
      <c r="M8" s="8"/>
      <c r="N8" s="8"/>
      <c r="O8" s="8"/>
      <c r="P8" s="8"/>
      <c r="Q8" s="2" t="b">
        <v>1</v>
      </c>
      <c r="R8" s="2" t="s">
        <v>690</v>
      </c>
      <c r="S8" s="2" t="s">
        <v>691</v>
      </c>
    </row>
    <row r="9">
      <c r="A9" s="11" t="s">
        <v>86</v>
      </c>
      <c r="B9" s="11" t="s">
        <v>88</v>
      </c>
      <c r="C9" s="11" t="s">
        <v>87</v>
      </c>
      <c r="D9" s="8"/>
      <c r="E9" s="8"/>
      <c r="F9" s="8"/>
      <c r="G9" s="8"/>
      <c r="H9" s="8"/>
      <c r="I9" s="8"/>
      <c r="J9" s="8"/>
      <c r="K9" s="2" t="b">
        <v>1</v>
      </c>
      <c r="L9" s="8"/>
      <c r="M9" s="8"/>
      <c r="N9" s="8"/>
      <c r="O9" s="2" t="b">
        <v>1</v>
      </c>
      <c r="P9" s="2" t="b">
        <v>1</v>
      </c>
      <c r="Q9" s="2" t="b">
        <v>1</v>
      </c>
      <c r="R9" s="2" t="s">
        <v>690</v>
      </c>
      <c r="S9" s="2" t="s">
        <v>691</v>
      </c>
    </row>
    <row r="10">
      <c r="A10" s="11" t="s">
        <v>93</v>
      </c>
      <c r="B10" s="11" t="s">
        <v>94</v>
      </c>
      <c r="C10" s="11" t="s">
        <v>87</v>
      </c>
      <c r="D10" s="8"/>
      <c r="E10" s="8"/>
      <c r="F10" s="8"/>
      <c r="G10" s="8"/>
      <c r="H10" s="2" t="b">
        <v>1</v>
      </c>
      <c r="I10" s="8"/>
      <c r="J10" s="8"/>
      <c r="K10" s="2" t="b">
        <v>1</v>
      </c>
      <c r="L10" s="8"/>
      <c r="M10" s="8"/>
      <c r="N10" s="8"/>
      <c r="O10" s="8"/>
      <c r="P10" s="8"/>
      <c r="Q10" s="2" t="b">
        <v>1</v>
      </c>
      <c r="R10" s="2" t="s">
        <v>690</v>
      </c>
      <c r="S10" s="2" t="s">
        <v>691</v>
      </c>
    </row>
    <row r="11">
      <c r="A11" s="11" t="s">
        <v>99</v>
      </c>
      <c r="B11" s="11" t="s">
        <v>100</v>
      </c>
      <c r="C11" s="11" t="s">
        <v>87</v>
      </c>
      <c r="D11" s="8"/>
      <c r="E11" s="8"/>
      <c r="F11" s="8"/>
      <c r="G11" s="8"/>
      <c r="H11" s="8"/>
      <c r="I11" s="2" t="b">
        <v>1</v>
      </c>
      <c r="J11" s="2" t="b">
        <v>1</v>
      </c>
      <c r="K11" s="2" t="b">
        <v>1</v>
      </c>
      <c r="L11" s="8"/>
      <c r="M11" s="2" t="b">
        <v>1</v>
      </c>
      <c r="N11" s="2" t="b">
        <v>1</v>
      </c>
      <c r="O11" s="8"/>
      <c r="P11" s="8"/>
      <c r="Q11" s="8"/>
      <c r="R11" s="2" t="s">
        <v>690</v>
      </c>
      <c r="S11" s="2" t="s">
        <v>691</v>
      </c>
    </row>
    <row r="12">
      <c r="A12" s="11" t="s">
        <v>107</v>
      </c>
      <c r="B12" s="11" t="s">
        <v>108</v>
      </c>
      <c r="C12" s="11" t="s">
        <v>87</v>
      </c>
      <c r="D12" s="8"/>
      <c r="E12" s="8"/>
      <c r="F12" s="8"/>
      <c r="G12" s="8"/>
      <c r="H12" s="2" t="b">
        <v>1</v>
      </c>
      <c r="I12" s="8"/>
      <c r="J12" s="8"/>
      <c r="K12" s="2" t="b">
        <v>1</v>
      </c>
      <c r="L12" s="8"/>
      <c r="M12" s="8"/>
      <c r="N12" s="8"/>
      <c r="O12" s="8"/>
      <c r="P12" s="8"/>
      <c r="Q12" s="2" t="b">
        <v>1</v>
      </c>
      <c r="R12" s="2" t="s">
        <v>690</v>
      </c>
      <c r="S12" s="2" t="s">
        <v>691</v>
      </c>
    </row>
    <row r="13">
      <c r="A13" s="11" t="s">
        <v>116</v>
      </c>
      <c r="B13" s="11" t="s">
        <v>117</v>
      </c>
      <c r="C13" s="11" t="s">
        <v>87</v>
      </c>
      <c r="D13" s="8"/>
      <c r="E13" s="8"/>
      <c r="F13" s="8"/>
      <c r="G13" s="8"/>
      <c r="H13" s="2" t="b">
        <v>1</v>
      </c>
      <c r="I13" s="8"/>
      <c r="J13" s="8"/>
      <c r="K13" s="2" t="b">
        <v>1</v>
      </c>
      <c r="L13" s="8"/>
      <c r="M13" s="8"/>
      <c r="N13" s="8"/>
      <c r="O13" s="8"/>
      <c r="P13" s="8"/>
      <c r="Q13" s="2" t="b">
        <v>1</v>
      </c>
      <c r="R13" s="2" t="s">
        <v>690</v>
      </c>
      <c r="S13" s="2" t="s">
        <v>691</v>
      </c>
    </row>
    <row r="14">
      <c r="A14" s="16" t="s">
        <v>122</v>
      </c>
      <c r="B14" s="16" t="s">
        <v>124</v>
      </c>
      <c r="C14" s="16" t="s">
        <v>123</v>
      </c>
      <c r="D14" s="8"/>
      <c r="E14" s="2" t="b">
        <v>1</v>
      </c>
      <c r="F14" s="8"/>
      <c r="G14" s="8"/>
      <c r="H14" s="8"/>
      <c r="I14" s="2" t="b">
        <v>1</v>
      </c>
      <c r="J14" s="8"/>
      <c r="K14" s="8"/>
      <c r="L14" s="8"/>
      <c r="M14" s="8"/>
      <c r="N14" s="8"/>
      <c r="O14" s="8"/>
      <c r="P14" s="8"/>
      <c r="Q14" s="8"/>
      <c r="R14" s="2" t="s">
        <v>690</v>
      </c>
      <c r="S14" s="2" t="s">
        <v>691</v>
      </c>
    </row>
    <row r="15">
      <c r="A15" s="16" t="s">
        <v>128</v>
      </c>
      <c r="B15" s="16" t="s">
        <v>129</v>
      </c>
      <c r="C15" s="16" t="s">
        <v>123</v>
      </c>
      <c r="D15" s="8"/>
      <c r="E15" s="2" t="b">
        <v>1</v>
      </c>
      <c r="F15" s="8"/>
      <c r="G15" s="8"/>
      <c r="H15" s="8"/>
      <c r="I15" s="2" t="b">
        <v>1</v>
      </c>
      <c r="J15" s="8"/>
      <c r="K15" s="2" t="b">
        <v>1</v>
      </c>
      <c r="L15" s="8"/>
      <c r="M15" s="8"/>
      <c r="N15" s="8"/>
      <c r="O15" s="8"/>
      <c r="P15" s="8"/>
      <c r="Q15" s="8"/>
      <c r="R15" s="2" t="s">
        <v>690</v>
      </c>
      <c r="S15" s="2" t="s">
        <v>691</v>
      </c>
    </row>
    <row r="16">
      <c r="A16" s="21" t="s">
        <v>133</v>
      </c>
      <c r="B16" s="21" t="s">
        <v>135</v>
      </c>
      <c r="C16" s="21" t="s">
        <v>134</v>
      </c>
      <c r="D16" s="8"/>
      <c r="E16" s="8"/>
      <c r="F16" s="8"/>
      <c r="G16" s="8"/>
      <c r="H16" s="8"/>
      <c r="I16" s="8"/>
      <c r="J16" s="8"/>
      <c r="K16" s="2" t="b">
        <v>1</v>
      </c>
      <c r="L16" s="8"/>
      <c r="M16" s="2" t="b">
        <v>1</v>
      </c>
      <c r="N16" s="8"/>
      <c r="O16" s="8"/>
      <c r="P16" s="8"/>
      <c r="Q16" s="2" t="b">
        <v>1</v>
      </c>
      <c r="R16" s="2" t="s">
        <v>690</v>
      </c>
      <c r="S16" s="2" t="s">
        <v>691</v>
      </c>
    </row>
    <row r="17">
      <c r="A17" s="21" t="s">
        <v>139</v>
      </c>
      <c r="B17" s="21" t="s">
        <v>140</v>
      </c>
      <c r="C17" s="21" t="s">
        <v>134</v>
      </c>
      <c r="D17" s="8"/>
      <c r="E17" s="8"/>
      <c r="F17" s="8"/>
      <c r="G17" s="8"/>
      <c r="H17" s="8"/>
      <c r="I17" s="8"/>
      <c r="J17" s="8"/>
      <c r="K17" s="2" t="b">
        <v>1</v>
      </c>
      <c r="L17" s="8"/>
      <c r="M17" s="2" t="b">
        <v>1</v>
      </c>
      <c r="N17" s="8"/>
      <c r="O17" s="8"/>
      <c r="P17" s="8"/>
      <c r="Q17" s="8"/>
      <c r="R17" s="2" t="s">
        <v>690</v>
      </c>
      <c r="S17" s="2" t="s">
        <v>691</v>
      </c>
    </row>
    <row r="18">
      <c r="A18" s="21" t="s">
        <v>144</v>
      </c>
      <c r="B18" s="21" t="s">
        <v>145</v>
      </c>
      <c r="C18" s="21" t="s">
        <v>134</v>
      </c>
      <c r="D18" s="8"/>
      <c r="E18" s="8"/>
      <c r="F18" s="8"/>
      <c r="G18" s="8"/>
      <c r="H18" s="2" t="b">
        <v>1</v>
      </c>
      <c r="I18" s="2" t="b">
        <v>1</v>
      </c>
      <c r="J18" s="8"/>
      <c r="K18" s="2" t="b">
        <v>1</v>
      </c>
      <c r="L18" s="8"/>
      <c r="M18" s="2" t="b">
        <v>1</v>
      </c>
      <c r="N18" s="8"/>
      <c r="O18" s="8"/>
      <c r="P18" s="2" t="b">
        <v>1</v>
      </c>
      <c r="Q18" s="2" t="b">
        <v>1</v>
      </c>
      <c r="R18" s="2" t="s">
        <v>690</v>
      </c>
      <c r="S18" s="2" t="s">
        <v>691</v>
      </c>
    </row>
    <row r="19">
      <c r="A19" s="26" t="s">
        <v>153</v>
      </c>
      <c r="B19" s="26" t="s">
        <v>155</v>
      </c>
      <c r="C19" s="26" t="s">
        <v>154</v>
      </c>
      <c r="D19" s="8"/>
      <c r="E19" s="8"/>
      <c r="F19" s="8"/>
      <c r="G19" s="8"/>
      <c r="H19" s="8"/>
      <c r="I19" s="2" t="b">
        <v>1</v>
      </c>
      <c r="J19" s="2" t="b">
        <v>1</v>
      </c>
      <c r="K19" s="8"/>
      <c r="L19" s="8"/>
      <c r="M19" s="8"/>
      <c r="N19" s="8"/>
      <c r="O19" s="8"/>
      <c r="P19" s="8"/>
      <c r="Q19" s="8"/>
      <c r="R19" s="2" t="s">
        <v>690</v>
      </c>
      <c r="S19" s="2" t="s">
        <v>691</v>
      </c>
    </row>
    <row r="20">
      <c r="A20" s="26" t="s">
        <v>160</v>
      </c>
      <c r="B20" s="26" t="s">
        <v>161</v>
      </c>
      <c r="C20" s="26" t="s">
        <v>154</v>
      </c>
      <c r="D20" s="8"/>
      <c r="E20" s="8"/>
      <c r="F20" s="8"/>
      <c r="G20" s="8"/>
      <c r="H20" s="8"/>
      <c r="I20" s="2" t="b">
        <v>1</v>
      </c>
      <c r="J20" s="2" t="b">
        <v>1</v>
      </c>
      <c r="K20" s="2" t="b">
        <v>1</v>
      </c>
      <c r="L20" s="8"/>
      <c r="M20" s="8"/>
      <c r="N20" s="8"/>
      <c r="O20" s="8"/>
      <c r="P20" s="8"/>
      <c r="Q20" s="8"/>
      <c r="R20" s="2" t="s">
        <v>690</v>
      </c>
      <c r="S20" s="2" t="s">
        <v>691</v>
      </c>
    </row>
    <row r="21">
      <c r="A21" s="26" t="s">
        <v>166</v>
      </c>
      <c r="B21" s="26" t="s">
        <v>167</v>
      </c>
      <c r="C21" s="26" t="s">
        <v>154</v>
      </c>
      <c r="D21" s="8"/>
      <c r="E21" s="8"/>
      <c r="F21" s="8"/>
      <c r="G21" s="8"/>
      <c r="H21" s="8"/>
      <c r="I21" s="2" t="b">
        <v>1</v>
      </c>
      <c r="J21" s="2" t="b">
        <v>1</v>
      </c>
      <c r="K21" s="8"/>
      <c r="L21" s="8"/>
      <c r="M21" s="8"/>
      <c r="N21" s="8"/>
      <c r="O21" s="8"/>
      <c r="P21" s="8"/>
      <c r="Q21" s="8"/>
      <c r="R21" s="2" t="s">
        <v>690</v>
      </c>
      <c r="S21" s="2" t="s">
        <v>691</v>
      </c>
    </row>
    <row r="22">
      <c r="A22" s="26" t="s">
        <v>172</v>
      </c>
      <c r="B22" s="26" t="s">
        <v>173</v>
      </c>
      <c r="C22" s="26" t="s">
        <v>154</v>
      </c>
      <c r="D22" s="8"/>
      <c r="E22" s="2" t="b">
        <v>1</v>
      </c>
      <c r="F22" s="8"/>
      <c r="G22" s="8"/>
      <c r="H22" s="2" t="b">
        <v>1</v>
      </c>
      <c r="I22" s="2" t="b">
        <v>1</v>
      </c>
      <c r="J22" s="2" t="b">
        <v>1</v>
      </c>
      <c r="K22" s="2" t="b">
        <v>1</v>
      </c>
      <c r="L22" s="8"/>
      <c r="M22" s="8"/>
      <c r="N22" s="8"/>
      <c r="O22" s="8"/>
      <c r="P22" s="8"/>
      <c r="Q22" s="8"/>
      <c r="R22" s="2" t="s">
        <v>690</v>
      </c>
      <c r="S22" s="2" t="s">
        <v>691</v>
      </c>
    </row>
    <row r="23">
      <c r="A23" s="26" t="s">
        <v>178</v>
      </c>
      <c r="B23" s="26" t="s">
        <v>179</v>
      </c>
      <c r="C23" s="26" t="s">
        <v>154</v>
      </c>
      <c r="D23" s="8"/>
      <c r="E23" s="8"/>
      <c r="F23" s="8"/>
      <c r="G23" s="8"/>
      <c r="H23" s="8"/>
      <c r="I23" s="2" t="b">
        <v>1</v>
      </c>
      <c r="J23" s="2" t="b">
        <v>1</v>
      </c>
      <c r="K23" s="2" t="b">
        <v>1</v>
      </c>
      <c r="L23" s="8"/>
      <c r="M23" s="8"/>
      <c r="N23" s="8"/>
      <c r="O23" s="8"/>
      <c r="P23" s="8"/>
      <c r="Q23" s="8"/>
      <c r="R23" s="2" t="s">
        <v>690</v>
      </c>
      <c r="S23" s="2" t="s">
        <v>691</v>
      </c>
    </row>
    <row r="24">
      <c r="A24" s="26" t="s">
        <v>184</v>
      </c>
      <c r="B24" s="26" t="s">
        <v>185</v>
      </c>
      <c r="C24" s="26" t="s">
        <v>154</v>
      </c>
      <c r="D24" s="8"/>
      <c r="E24" s="8"/>
      <c r="F24" s="8"/>
      <c r="G24" s="8"/>
      <c r="H24" s="2" t="b">
        <v>1</v>
      </c>
      <c r="I24" s="2" t="b">
        <v>1</v>
      </c>
      <c r="J24" s="8"/>
      <c r="K24" s="2" t="b">
        <v>1</v>
      </c>
      <c r="L24" s="8"/>
      <c r="M24" s="8"/>
      <c r="N24" s="8"/>
      <c r="O24" s="8"/>
      <c r="P24" s="8"/>
      <c r="Q24" s="8"/>
      <c r="R24" s="2" t="s">
        <v>690</v>
      </c>
      <c r="S24" s="2" t="s">
        <v>691</v>
      </c>
    </row>
    <row r="25">
      <c r="A25" s="26" t="s">
        <v>193</v>
      </c>
      <c r="B25" s="26" t="s">
        <v>194</v>
      </c>
      <c r="C25" s="26" t="s">
        <v>154</v>
      </c>
      <c r="D25" s="8"/>
      <c r="E25" s="8"/>
      <c r="F25" s="8"/>
      <c r="G25" s="8"/>
      <c r="H25" s="8"/>
      <c r="I25" s="2" t="b">
        <v>1</v>
      </c>
      <c r="J25" s="2" t="b">
        <v>1</v>
      </c>
      <c r="K25" s="2" t="b">
        <v>1</v>
      </c>
      <c r="L25" s="8"/>
      <c r="M25" s="8"/>
      <c r="N25" s="8"/>
      <c r="O25" s="8"/>
      <c r="P25" s="8"/>
      <c r="Q25" s="8"/>
      <c r="R25" s="2" t="s">
        <v>690</v>
      </c>
      <c r="S25" s="2" t="s">
        <v>691</v>
      </c>
    </row>
    <row r="26">
      <c r="A26" s="26" t="s">
        <v>199</v>
      </c>
      <c r="B26" s="26" t="s">
        <v>200</v>
      </c>
      <c r="C26" s="26" t="s">
        <v>154</v>
      </c>
      <c r="D26" s="8"/>
      <c r="E26" s="8"/>
      <c r="F26" s="8"/>
      <c r="G26" s="2" t="b">
        <v>1</v>
      </c>
      <c r="H26" s="8"/>
      <c r="I26" s="2" t="b">
        <v>1</v>
      </c>
      <c r="J26" s="2" t="b">
        <v>1</v>
      </c>
      <c r="K26" s="8"/>
      <c r="L26" s="2" t="b">
        <v>1</v>
      </c>
      <c r="M26" s="8"/>
      <c r="N26" s="8"/>
      <c r="O26" s="8"/>
      <c r="P26" s="8"/>
      <c r="Q26" s="8"/>
      <c r="R26" s="2" t="s">
        <v>690</v>
      </c>
      <c r="S26" s="2" t="s">
        <v>691</v>
      </c>
    </row>
    <row r="27">
      <c r="A27" s="31" t="s">
        <v>205</v>
      </c>
      <c r="B27" s="31" t="s">
        <v>207</v>
      </c>
      <c r="C27" s="31" t="s">
        <v>206</v>
      </c>
      <c r="D27" s="8"/>
      <c r="E27" s="8"/>
      <c r="F27" s="8"/>
      <c r="G27" s="8"/>
      <c r="H27" s="2" t="b">
        <v>1</v>
      </c>
      <c r="I27" s="2" t="b">
        <v>1</v>
      </c>
      <c r="J27" s="2" t="b">
        <v>1</v>
      </c>
      <c r="K27" s="2" t="b">
        <v>1</v>
      </c>
      <c r="L27" s="8"/>
      <c r="M27" s="8"/>
      <c r="N27" s="8"/>
      <c r="O27" s="8"/>
      <c r="P27" s="8"/>
      <c r="Q27" s="8"/>
      <c r="R27" s="2" t="s">
        <v>690</v>
      </c>
      <c r="S27" s="2" t="s">
        <v>691</v>
      </c>
    </row>
    <row r="28">
      <c r="A28" s="31" t="s">
        <v>215</v>
      </c>
      <c r="B28" s="31" t="s">
        <v>216</v>
      </c>
      <c r="C28" s="31" t="s">
        <v>206</v>
      </c>
      <c r="D28" s="8"/>
      <c r="E28" s="2" t="b">
        <v>1</v>
      </c>
      <c r="F28" s="8"/>
      <c r="G28" s="8"/>
      <c r="H28" s="8"/>
      <c r="I28" s="2" t="b">
        <v>1</v>
      </c>
      <c r="J28" s="2" t="b">
        <v>1</v>
      </c>
      <c r="K28" s="2" t="b">
        <v>1</v>
      </c>
      <c r="L28" s="8"/>
      <c r="M28" s="8"/>
      <c r="N28" s="8"/>
      <c r="O28" s="8"/>
      <c r="P28" s="8"/>
      <c r="Q28" s="8"/>
      <c r="R28" s="2" t="s">
        <v>690</v>
      </c>
      <c r="S28" s="2" t="s">
        <v>691</v>
      </c>
    </row>
    <row r="29">
      <c r="A29" s="31" t="s">
        <v>221</v>
      </c>
      <c r="B29" s="31" t="s">
        <v>222</v>
      </c>
      <c r="C29" s="31" t="s">
        <v>206</v>
      </c>
      <c r="D29" s="8"/>
      <c r="E29" s="2" t="b">
        <v>1</v>
      </c>
      <c r="F29" s="8"/>
      <c r="G29" s="8"/>
      <c r="H29" s="8"/>
      <c r="I29" s="2" t="b">
        <v>1</v>
      </c>
      <c r="J29" s="2" t="b">
        <v>1</v>
      </c>
      <c r="K29" s="2" t="b">
        <v>1</v>
      </c>
      <c r="L29" s="8"/>
      <c r="M29" s="8"/>
      <c r="N29" s="8"/>
      <c r="O29" s="8"/>
      <c r="P29" s="8"/>
      <c r="Q29" s="8"/>
      <c r="R29" s="2" t="s">
        <v>690</v>
      </c>
      <c r="S29" s="2" t="s">
        <v>691</v>
      </c>
    </row>
    <row r="30">
      <c r="A30" s="31" t="s">
        <v>230</v>
      </c>
      <c r="B30" s="31" t="s">
        <v>231</v>
      </c>
      <c r="C30" s="31" t="s">
        <v>206</v>
      </c>
      <c r="D30" s="8"/>
      <c r="E30" s="8"/>
      <c r="F30" s="8"/>
      <c r="G30" s="8"/>
      <c r="H30" s="8"/>
      <c r="I30" s="2" t="b">
        <v>1</v>
      </c>
      <c r="J30" s="2" t="b">
        <v>1</v>
      </c>
      <c r="K30" s="2" t="b">
        <v>1</v>
      </c>
      <c r="L30" s="8"/>
      <c r="M30" s="8"/>
      <c r="N30" s="8"/>
      <c r="O30" s="8"/>
      <c r="P30" s="8"/>
      <c r="Q30" s="8"/>
      <c r="R30" s="2" t="s">
        <v>690</v>
      </c>
      <c r="S30" s="2" t="s">
        <v>691</v>
      </c>
    </row>
    <row r="31">
      <c r="A31" s="31" t="s">
        <v>239</v>
      </c>
      <c r="B31" s="31" t="s">
        <v>240</v>
      </c>
      <c r="C31" s="31" t="s">
        <v>206</v>
      </c>
      <c r="D31" s="8"/>
      <c r="E31" s="2" t="b">
        <v>1</v>
      </c>
      <c r="F31" s="5" t="b">
        <v>0</v>
      </c>
      <c r="G31" s="8"/>
      <c r="H31" s="8"/>
      <c r="I31" s="2" t="b">
        <v>1</v>
      </c>
      <c r="J31" s="2" t="b">
        <v>1</v>
      </c>
      <c r="K31" s="2" t="b">
        <v>1</v>
      </c>
      <c r="L31" s="8"/>
      <c r="M31" s="8"/>
      <c r="N31" s="8"/>
      <c r="O31" s="8"/>
      <c r="P31" s="8"/>
      <c r="Q31" s="8"/>
      <c r="R31" s="2" t="s">
        <v>690</v>
      </c>
      <c r="S31" s="2" t="s">
        <v>691</v>
      </c>
    </row>
    <row r="32">
      <c r="A32" s="31" t="s">
        <v>248</v>
      </c>
      <c r="B32" s="31" t="s">
        <v>249</v>
      </c>
      <c r="C32" s="31" t="s">
        <v>206</v>
      </c>
      <c r="D32" s="8"/>
      <c r="E32" s="2" t="b">
        <v>1</v>
      </c>
      <c r="F32" s="8"/>
      <c r="G32" s="8"/>
      <c r="H32" s="8"/>
      <c r="I32" s="8"/>
      <c r="J32" s="8"/>
      <c r="K32" s="2" t="b">
        <v>1</v>
      </c>
      <c r="L32" s="8"/>
      <c r="M32" s="8"/>
      <c r="N32" s="8"/>
      <c r="O32" s="8"/>
      <c r="P32" s="8"/>
      <c r="Q32" s="8"/>
      <c r="R32" s="2" t="s">
        <v>690</v>
      </c>
      <c r="S32" s="2" t="s">
        <v>691</v>
      </c>
    </row>
    <row r="33">
      <c r="A33" s="36" t="s">
        <v>253</v>
      </c>
      <c r="B33" s="36" t="s">
        <v>255</v>
      </c>
      <c r="C33" s="36" t="s">
        <v>254</v>
      </c>
      <c r="D33" s="8"/>
      <c r="E33" s="8"/>
      <c r="F33" s="8"/>
      <c r="G33" s="8"/>
      <c r="H33" s="8"/>
      <c r="I33" s="2" t="b">
        <v>1</v>
      </c>
      <c r="J33" s="8"/>
      <c r="K33" s="2" t="b">
        <v>1</v>
      </c>
      <c r="L33" s="8"/>
      <c r="M33" s="8"/>
      <c r="N33" s="8"/>
      <c r="O33" s="8"/>
      <c r="P33" s="8"/>
      <c r="Q33" s="8"/>
      <c r="R33" s="2" t="s">
        <v>690</v>
      </c>
      <c r="S33" s="2" t="s">
        <v>691</v>
      </c>
    </row>
    <row r="34">
      <c r="A34" s="36" t="s">
        <v>259</v>
      </c>
      <c r="B34" s="36" t="s">
        <v>260</v>
      </c>
      <c r="C34" s="36" t="s">
        <v>254</v>
      </c>
      <c r="D34" s="8"/>
      <c r="E34" s="8"/>
      <c r="F34" s="8"/>
      <c r="G34" s="8"/>
      <c r="H34" s="8"/>
      <c r="I34" s="2" t="b">
        <v>1</v>
      </c>
      <c r="J34" s="8"/>
      <c r="K34" s="2" t="b">
        <v>1</v>
      </c>
      <c r="L34" s="8"/>
      <c r="M34" s="8"/>
      <c r="N34" s="8"/>
      <c r="O34" s="8"/>
      <c r="P34" s="2" t="b">
        <v>1</v>
      </c>
      <c r="Q34" s="2" t="b">
        <v>1</v>
      </c>
      <c r="R34" s="2" t="s">
        <v>690</v>
      </c>
      <c r="S34" s="2" t="s">
        <v>691</v>
      </c>
    </row>
    <row r="35">
      <c r="A35" s="36" t="s">
        <v>265</v>
      </c>
      <c r="B35" s="36" t="s">
        <v>266</v>
      </c>
      <c r="C35" s="36" t="s">
        <v>254</v>
      </c>
      <c r="D35" s="8"/>
      <c r="E35" s="8"/>
      <c r="F35" s="8"/>
      <c r="G35" s="8"/>
      <c r="H35" s="8"/>
      <c r="I35" s="2" t="b">
        <v>1</v>
      </c>
      <c r="J35" s="8"/>
      <c r="K35" s="2" t="b">
        <v>1</v>
      </c>
      <c r="L35" s="8"/>
      <c r="M35" s="8"/>
      <c r="N35" s="8"/>
      <c r="O35" s="8"/>
      <c r="P35" s="2" t="b">
        <v>1</v>
      </c>
      <c r="Q35" s="2" t="b">
        <v>1</v>
      </c>
      <c r="R35" s="2" t="s">
        <v>690</v>
      </c>
      <c r="S35" s="2" t="s">
        <v>691</v>
      </c>
    </row>
    <row r="36">
      <c r="A36" s="36" t="s">
        <v>271</v>
      </c>
      <c r="B36" s="36" t="s">
        <v>272</v>
      </c>
      <c r="C36" s="36" t="s">
        <v>254</v>
      </c>
      <c r="D36" s="8"/>
      <c r="E36" s="8"/>
      <c r="F36" s="8"/>
      <c r="G36" s="8"/>
      <c r="H36" s="8"/>
      <c r="I36" s="2" t="b">
        <v>1</v>
      </c>
      <c r="J36" s="2" t="b">
        <v>1</v>
      </c>
      <c r="K36" s="2" t="b">
        <v>1</v>
      </c>
      <c r="L36" s="8"/>
      <c r="M36" s="8"/>
      <c r="N36" s="8"/>
      <c r="O36" s="8"/>
      <c r="P36" s="2" t="b">
        <v>1</v>
      </c>
      <c r="Q36" s="2" t="b">
        <v>1</v>
      </c>
      <c r="R36" s="2" t="s">
        <v>690</v>
      </c>
      <c r="S36" s="2" t="s">
        <v>691</v>
      </c>
    </row>
    <row r="37">
      <c r="A37" s="36" t="s">
        <v>277</v>
      </c>
      <c r="B37" s="36" t="s">
        <v>278</v>
      </c>
      <c r="C37" s="36" t="s">
        <v>254</v>
      </c>
      <c r="D37" s="8"/>
      <c r="E37" s="8"/>
      <c r="F37" s="8"/>
      <c r="G37" s="8"/>
      <c r="H37" s="8"/>
      <c r="I37" s="2" t="b">
        <v>1</v>
      </c>
      <c r="J37" s="8"/>
      <c r="K37" s="2" t="b">
        <v>1</v>
      </c>
      <c r="L37" s="8"/>
      <c r="M37" s="2" t="b">
        <v>1</v>
      </c>
      <c r="N37" s="8"/>
      <c r="O37" s="8"/>
      <c r="P37" s="2" t="b">
        <v>1</v>
      </c>
      <c r="Q37" s="2" t="b">
        <v>1</v>
      </c>
      <c r="R37" s="2" t="s">
        <v>690</v>
      </c>
      <c r="S37" s="2" t="s">
        <v>691</v>
      </c>
    </row>
    <row r="38">
      <c r="A38" s="36" t="s">
        <v>283</v>
      </c>
      <c r="B38" s="36" t="s">
        <v>284</v>
      </c>
      <c r="C38" s="36" t="s">
        <v>254</v>
      </c>
      <c r="D38" s="8"/>
      <c r="E38" s="8"/>
      <c r="F38" s="8"/>
      <c r="G38" s="8"/>
      <c r="H38" s="8"/>
      <c r="I38" s="2" t="b">
        <v>1</v>
      </c>
      <c r="J38" s="8"/>
      <c r="K38" s="2" t="b">
        <v>1</v>
      </c>
      <c r="L38" s="8"/>
      <c r="M38" s="8"/>
      <c r="N38" s="8"/>
      <c r="O38" s="8"/>
      <c r="P38" s="8"/>
      <c r="Q38" s="2" t="b">
        <v>1</v>
      </c>
      <c r="R38" s="2" t="s">
        <v>690</v>
      </c>
      <c r="S38" s="2" t="s">
        <v>691</v>
      </c>
    </row>
    <row r="39">
      <c r="A39" s="36" t="s">
        <v>289</v>
      </c>
      <c r="B39" s="36" t="s">
        <v>290</v>
      </c>
      <c r="C39" s="36" t="s">
        <v>254</v>
      </c>
      <c r="D39" s="8"/>
      <c r="E39" s="8"/>
      <c r="F39" s="8"/>
      <c r="G39" s="2" t="b">
        <v>1</v>
      </c>
      <c r="H39" s="8"/>
      <c r="I39" s="2" t="b">
        <v>1</v>
      </c>
      <c r="J39" s="8"/>
      <c r="K39" s="2" t="b">
        <v>1</v>
      </c>
      <c r="L39" s="8"/>
      <c r="M39" s="8"/>
      <c r="N39" s="8"/>
      <c r="O39" s="8"/>
      <c r="P39" s="8"/>
      <c r="Q39" s="8"/>
      <c r="R39" s="2" t="s">
        <v>690</v>
      </c>
      <c r="S39" s="2" t="s">
        <v>691</v>
      </c>
    </row>
    <row r="40">
      <c r="A40" s="36" t="s">
        <v>298</v>
      </c>
      <c r="B40" s="36" t="s">
        <v>299</v>
      </c>
      <c r="C40" s="36" t="s">
        <v>254</v>
      </c>
      <c r="D40" s="8"/>
      <c r="E40" s="8"/>
      <c r="F40" s="8"/>
      <c r="G40" s="8"/>
      <c r="H40" s="8"/>
      <c r="I40" s="2" t="b">
        <v>1</v>
      </c>
      <c r="J40" s="8"/>
      <c r="K40" s="2" t="b">
        <v>1</v>
      </c>
      <c r="L40" s="8"/>
      <c r="M40" s="8"/>
      <c r="N40" s="8"/>
      <c r="O40" s="8"/>
      <c r="P40" s="8"/>
      <c r="Q40" s="2" t="b">
        <v>1</v>
      </c>
      <c r="R40" s="2" t="s">
        <v>690</v>
      </c>
      <c r="S40" s="2" t="s">
        <v>691</v>
      </c>
    </row>
    <row r="41">
      <c r="A41" s="36" t="s">
        <v>304</v>
      </c>
      <c r="B41" s="36" t="s">
        <v>305</v>
      </c>
      <c r="C41" s="36" t="s">
        <v>254</v>
      </c>
      <c r="D41" s="8"/>
      <c r="E41" s="8"/>
      <c r="F41" s="8"/>
      <c r="G41" s="8"/>
      <c r="H41" s="8"/>
      <c r="I41" s="2" t="b">
        <v>1</v>
      </c>
      <c r="J41" s="8"/>
      <c r="K41" s="2" t="b">
        <v>1</v>
      </c>
      <c r="L41" s="8"/>
      <c r="M41" s="8"/>
      <c r="N41" s="8"/>
      <c r="O41" s="8"/>
      <c r="P41" s="2" t="b">
        <v>1</v>
      </c>
      <c r="Q41" s="2" t="b">
        <v>1</v>
      </c>
      <c r="R41" s="2" t="s">
        <v>690</v>
      </c>
      <c r="S41" s="2" t="s">
        <v>691</v>
      </c>
    </row>
    <row r="42">
      <c r="A42" s="36" t="s">
        <v>313</v>
      </c>
      <c r="B42" s="36" t="s">
        <v>88</v>
      </c>
      <c r="C42" s="36" t="s">
        <v>254</v>
      </c>
      <c r="D42" s="8"/>
      <c r="E42" s="8"/>
      <c r="F42" s="8"/>
      <c r="G42" s="8"/>
      <c r="H42" s="2" t="b">
        <v>1</v>
      </c>
      <c r="I42" s="2" t="b">
        <v>1</v>
      </c>
      <c r="J42" s="8"/>
      <c r="K42" s="2" t="b">
        <v>1</v>
      </c>
      <c r="L42" s="8"/>
      <c r="M42" s="8"/>
      <c r="N42" s="8"/>
      <c r="O42" s="8"/>
      <c r="P42" s="2" t="b">
        <v>1</v>
      </c>
      <c r="Q42" s="2" t="b">
        <v>1</v>
      </c>
      <c r="R42" s="2" t="s">
        <v>690</v>
      </c>
      <c r="S42" s="2" t="s">
        <v>691</v>
      </c>
    </row>
    <row r="43">
      <c r="A43" s="36" t="s">
        <v>318</v>
      </c>
      <c r="B43" s="36" t="s">
        <v>319</v>
      </c>
      <c r="C43" s="36" t="s">
        <v>254</v>
      </c>
      <c r="D43" s="8"/>
      <c r="E43" s="8"/>
      <c r="F43" s="8"/>
      <c r="G43" s="8"/>
      <c r="H43" s="2" t="b">
        <v>1</v>
      </c>
      <c r="I43" s="2" t="b">
        <v>1</v>
      </c>
      <c r="J43" s="8"/>
      <c r="K43" s="2" t="b">
        <v>1</v>
      </c>
      <c r="L43" s="8"/>
      <c r="M43" s="8"/>
      <c r="N43" s="8"/>
      <c r="O43" s="8"/>
      <c r="P43" s="8"/>
      <c r="Q43" s="8"/>
      <c r="R43" s="2" t="s">
        <v>690</v>
      </c>
      <c r="S43" s="2" t="s">
        <v>691</v>
      </c>
    </row>
    <row r="44">
      <c r="A44" s="36" t="s">
        <v>324</v>
      </c>
      <c r="B44" s="36" t="s">
        <v>325</v>
      </c>
      <c r="C44" s="36" t="s">
        <v>254</v>
      </c>
      <c r="D44" s="8"/>
      <c r="E44" s="8"/>
      <c r="F44" s="8"/>
      <c r="G44" s="8"/>
      <c r="H44" s="8"/>
      <c r="I44" s="2" t="b">
        <v>1</v>
      </c>
      <c r="J44" s="8"/>
      <c r="K44" s="2" t="b">
        <v>1</v>
      </c>
      <c r="L44" s="8"/>
      <c r="M44" s="8"/>
      <c r="N44" s="8"/>
      <c r="O44" s="8"/>
      <c r="P44" s="8"/>
      <c r="Q44" s="8"/>
      <c r="R44" s="2" t="s">
        <v>690</v>
      </c>
      <c r="S44" s="2" t="s">
        <v>691</v>
      </c>
    </row>
    <row r="45">
      <c r="A45" s="74" t="s">
        <v>330</v>
      </c>
      <c r="B45" s="74" t="s">
        <v>332</v>
      </c>
      <c r="C45" s="74" t="s">
        <v>331</v>
      </c>
      <c r="D45" s="8"/>
      <c r="E45" s="8"/>
      <c r="F45" s="8"/>
      <c r="G45" s="8"/>
      <c r="H45" s="8"/>
      <c r="I45" s="2" t="b">
        <v>1</v>
      </c>
      <c r="J45" s="8"/>
      <c r="K45" s="2" t="b">
        <v>1</v>
      </c>
      <c r="L45" s="8"/>
      <c r="M45" s="8"/>
      <c r="N45" s="8"/>
      <c r="O45" s="8"/>
      <c r="P45" s="8"/>
      <c r="Q45" s="8"/>
      <c r="R45" s="2" t="s">
        <v>690</v>
      </c>
      <c r="S45" s="2" t="s">
        <v>691</v>
      </c>
    </row>
    <row r="46">
      <c r="A46" s="74" t="s">
        <v>337</v>
      </c>
      <c r="B46" s="74" t="s">
        <v>338</v>
      </c>
      <c r="C46" s="74" t="s">
        <v>331</v>
      </c>
      <c r="D46" s="8"/>
      <c r="E46" s="8"/>
      <c r="F46" s="8"/>
      <c r="G46" s="8"/>
      <c r="H46" s="8"/>
      <c r="I46" s="2" t="b">
        <v>1</v>
      </c>
      <c r="J46" s="8"/>
      <c r="K46" s="2" t="b">
        <v>1</v>
      </c>
      <c r="L46" s="8"/>
      <c r="M46" s="8"/>
      <c r="N46" s="8"/>
      <c r="O46" s="8"/>
      <c r="P46" s="8"/>
      <c r="Q46" s="8"/>
      <c r="R46" s="2" t="s">
        <v>690</v>
      </c>
      <c r="S46" s="2" t="s">
        <v>691</v>
      </c>
    </row>
    <row r="47">
      <c r="A47" s="74" t="s">
        <v>346</v>
      </c>
      <c r="B47" s="74" t="s">
        <v>347</v>
      </c>
      <c r="C47" s="74" t="s">
        <v>331</v>
      </c>
      <c r="D47" s="8"/>
      <c r="E47" s="8"/>
      <c r="F47" s="8"/>
      <c r="G47" s="8"/>
      <c r="H47" s="8"/>
      <c r="I47" s="2" t="b">
        <v>1</v>
      </c>
      <c r="J47" s="2" t="b">
        <v>1</v>
      </c>
      <c r="K47" s="2" t="b">
        <v>1</v>
      </c>
      <c r="L47" s="8"/>
      <c r="M47" s="2" t="b">
        <v>1</v>
      </c>
      <c r="N47" s="2" t="b">
        <v>1</v>
      </c>
      <c r="O47" s="8"/>
      <c r="P47" s="8"/>
      <c r="Q47" s="8"/>
      <c r="R47" s="2" t="s">
        <v>690</v>
      </c>
      <c r="S47" s="2" t="s">
        <v>691</v>
      </c>
    </row>
    <row r="48">
      <c r="A48" s="74" t="s">
        <v>352</v>
      </c>
      <c r="B48" s="74" t="s">
        <v>353</v>
      </c>
      <c r="C48" s="74" t="s">
        <v>331</v>
      </c>
      <c r="D48" s="8"/>
      <c r="E48" s="8"/>
      <c r="F48" s="8"/>
      <c r="G48" s="8"/>
      <c r="H48" s="8"/>
      <c r="I48" s="2" t="b">
        <v>1</v>
      </c>
      <c r="J48" s="2" t="b">
        <v>1</v>
      </c>
      <c r="K48" s="2" t="b">
        <v>1</v>
      </c>
      <c r="L48" s="8"/>
      <c r="M48" s="8"/>
      <c r="N48" s="8"/>
      <c r="O48" s="8"/>
      <c r="P48" s="8"/>
      <c r="Q48" s="8"/>
      <c r="R48" s="2" t="s">
        <v>690</v>
      </c>
      <c r="S48" s="2" t="s">
        <v>691</v>
      </c>
    </row>
    <row r="49">
      <c r="A49" s="42" t="s">
        <v>358</v>
      </c>
      <c r="B49" s="42" t="s">
        <v>360</v>
      </c>
      <c r="C49" s="42" t="s">
        <v>359</v>
      </c>
      <c r="D49" s="8"/>
      <c r="E49" s="8"/>
      <c r="F49" s="8"/>
      <c r="G49" s="8"/>
      <c r="H49" s="8"/>
      <c r="I49" s="2" t="b">
        <v>1</v>
      </c>
      <c r="J49" s="2" t="b">
        <v>1</v>
      </c>
      <c r="K49" s="2" t="b">
        <v>1</v>
      </c>
      <c r="L49" s="8"/>
      <c r="M49" s="8"/>
      <c r="N49" s="8"/>
      <c r="O49" s="8"/>
      <c r="P49" s="2" t="b">
        <v>1</v>
      </c>
      <c r="Q49" s="2" t="b">
        <v>1</v>
      </c>
      <c r="R49" s="2" t="s">
        <v>690</v>
      </c>
      <c r="S49" s="2" t="s">
        <v>691</v>
      </c>
    </row>
    <row r="50">
      <c r="A50" s="42" t="s">
        <v>364</v>
      </c>
      <c r="B50" s="42" t="s">
        <v>365</v>
      </c>
      <c r="C50" s="42" t="s">
        <v>359</v>
      </c>
      <c r="D50" s="8"/>
      <c r="E50" s="8"/>
      <c r="F50" s="8"/>
      <c r="G50" s="8"/>
      <c r="H50" s="2" t="b">
        <v>1</v>
      </c>
      <c r="I50" s="2" t="b">
        <v>1</v>
      </c>
      <c r="J50" s="2" t="b">
        <v>1</v>
      </c>
      <c r="K50" s="2" t="b">
        <v>1</v>
      </c>
      <c r="L50" s="8"/>
      <c r="M50" s="8"/>
      <c r="N50" s="8"/>
      <c r="O50" s="8"/>
      <c r="P50" s="2" t="b">
        <v>1</v>
      </c>
      <c r="Q50" s="8"/>
      <c r="R50" s="2" t="s">
        <v>690</v>
      </c>
      <c r="S50" s="2" t="s">
        <v>691</v>
      </c>
    </row>
    <row r="51">
      <c r="A51" s="42" t="s">
        <v>369</v>
      </c>
      <c r="B51" s="42" t="s">
        <v>370</v>
      </c>
      <c r="C51" s="42" t="s">
        <v>359</v>
      </c>
      <c r="D51" s="8"/>
      <c r="E51" s="8"/>
      <c r="F51" s="8"/>
      <c r="G51" s="8"/>
      <c r="H51" s="2" t="b">
        <v>1</v>
      </c>
      <c r="I51" s="2" t="b">
        <v>1</v>
      </c>
      <c r="J51" s="2" t="b">
        <v>1</v>
      </c>
      <c r="K51" s="2" t="b">
        <v>1</v>
      </c>
      <c r="L51" s="8"/>
      <c r="M51" s="8"/>
      <c r="N51" s="8"/>
      <c r="O51" s="8"/>
      <c r="P51" s="2" t="b">
        <v>1</v>
      </c>
      <c r="Q51" s="8"/>
      <c r="R51" s="2" t="s">
        <v>690</v>
      </c>
      <c r="S51" s="2" t="s">
        <v>691</v>
      </c>
    </row>
    <row r="52">
      <c r="A52" s="42" t="s">
        <v>374</v>
      </c>
      <c r="B52" s="42" t="s">
        <v>375</v>
      </c>
      <c r="C52" s="42" t="s">
        <v>359</v>
      </c>
      <c r="D52" s="8"/>
      <c r="E52" s="8"/>
      <c r="F52" s="8"/>
      <c r="G52" s="8"/>
      <c r="H52" s="8"/>
      <c r="I52" s="8"/>
      <c r="J52" s="8"/>
      <c r="K52" s="2" t="b">
        <v>1</v>
      </c>
      <c r="L52" s="8"/>
      <c r="M52" s="8"/>
      <c r="N52" s="8"/>
      <c r="O52" s="8"/>
      <c r="P52" s="8"/>
      <c r="Q52" s="2" t="b">
        <v>1</v>
      </c>
      <c r="R52" s="2" t="s">
        <v>690</v>
      </c>
      <c r="S52" s="2" t="s">
        <v>691</v>
      </c>
    </row>
    <row r="53">
      <c r="A53" s="42" t="s">
        <v>380</v>
      </c>
      <c r="B53" s="42" t="s">
        <v>381</v>
      </c>
      <c r="C53" s="42" t="s">
        <v>359</v>
      </c>
      <c r="D53" s="8"/>
      <c r="E53" s="8"/>
      <c r="F53" s="8"/>
      <c r="G53" s="8"/>
      <c r="H53" s="2" t="b">
        <v>1</v>
      </c>
      <c r="I53" s="2" t="b">
        <v>1</v>
      </c>
      <c r="J53" s="2" t="b">
        <v>1</v>
      </c>
      <c r="K53" s="2" t="b">
        <v>1</v>
      </c>
      <c r="L53" s="8"/>
      <c r="M53" s="8"/>
      <c r="N53" s="8"/>
      <c r="O53" s="8"/>
      <c r="P53" s="2" t="b">
        <v>1</v>
      </c>
      <c r="Q53" s="8"/>
      <c r="R53" s="2" t="s">
        <v>690</v>
      </c>
      <c r="S53" s="2" t="s">
        <v>691</v>
      </c>
    </row>
    <row r="54">
      <c r="A54" s="42" t="s">
        <v>385</v>
      </c>
      <c r="B54" s="42" t="s">
        <v>386</v>
      </c>
      <c r="C54" s="42" t="s">
        <v>359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2" t="b">
        <v>1</v>
      </c>
      <c r="R54" s="2" t="s">
        <v>690</v>
      </c>
      <c r="S54" s="2" t="s">
        <v>691</v>
      </c>
    </row>
    <row r="55">
      <c r="A55" s="42" t="s">
        <v>390</v>
      </c>
      <c r="B55" s="42" t="s">
        <v>391</v>
      </c>
      <c r="C55" s="42" t="s">
        <v>359</v>
      </c>
      <c r="D55" s="8"/>
      <c r="E55" s="8"/>
      <c r="F55" s="8"/>
      <c r="G55" s="8"/>
      <c r="H55" s="2" t="b">
        <v>1</v>
      </c>
      <c r="I55" s="2" t="b">
        <v>1</v>
      </c>
      <c r="J55" s="2" t="b">
        <v>1</v>
      </c>
      <c r="K55" s="2" t="b">
        <v>1</v>
      </c>
      <c r="L55" s="8"/>
      <c r="M55" s="8"/>
      <c r="N55" s="8"/>
      <c r="O55" s="8"/>
      <c r="P55" s="2" t="b">
        <v>1</v>
      </c>
      <c r="Q55" s="8"/>
      <c r="R55" s="2" t="s">
        <v>690</v>
      </c>
      <c r="S55" s="2" t="s">
        <v>691</v>
      </c>
    </row>
    <row r="56">
      <c r="A56" s="42" t="s">
        <v>395</v>
      </c>
      <c r="B56" s="42" t="s">
        <v>396</v>
      </c>
      <c r="C56" s="42" t="s">
        <v>359</v>
      </c>
      <c r="D56" s="8"/>
      <c r="E56" s="8"/>
      <c r="F56" s="8"/>
      <c r="G56" s="8"/>
      <c r="H56" s="2" t="b">
        <v>1</v>
      </c>
      <c r="I56" s="2" t="b">
        <v>1</v>
      </c>
      <c r="J56" s="2" t="b">
        <v>1</v>
      </c>
      <c r="K56" s="2" t="b">
        <v>1</v>
      </c>
      <c r="L56" s="8"/>
      <c r="M56" s="8"/>
      <c r="N56" s="8"/>
      <c r="O56" s="8"/>
      <c r="P56" s="2" t="b">
        <v>1</v>
      </c>
      <c r="Q56" s="8"/>
      <c r="R56" s="2" t="s">
        <v>690</v>
      </c>
      <c r="S56" s="2" t="s">
        <v>691</v>
      </c>
    </row>
    <row r="57">
      <c r="A57" s="42" t="s">
        <v>400</v>
      </c>
      <c r="B57" s="42" t="s">
        <v>401</v>
      </c>
      <c r="C57" s="42" t="s">
        <v>359</v>
      </c>
      <c r="D57" s="8"/>
      <c r="E57" s="8"/>
      <c r="F57" s="8"/>
      <c r="G57" s="8"/>
      <c r="H57" s="2" t="b">
        <v>1</v>
      </c>
      <c r="I57" s="2" t="b">
        <v>1</v>
      </c>
      <c r="J57" s="2" t="b">
        <v>1</v>
      </c>
      <c r="K57" s="2" t="b">
        <v>1</v>
      </c>
      <c r="L57" s="8"/>
      <c r="M57" s="8"/>
      <c r="N57" s="8"/>
      <c r="O57" s="8"/>
      <c r="P57" s="2" t="b">
        <v>1</v>
      </c>
      <c r="Q57" s="2" t="b">
        <v>1</v>
      </c>
      <c r="R57" s="2" t="s">
        <v>690</v>
      </c>
      <c r="S57" s="2" t="s">
        <v>691</v>
      </c>
    </row>
    <row r="58">
      <c r="A58" s="66" t="s">
        <v>574</v>
      </c>
      <c r="B58" s="66" t="s">
        <v>576</v>
      </c>
      <c r="C58" s="66" t="s">
        <v>575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2" t="s">
        <v>708</v>
      </c>
      <c r="S58" s="2" t="s">
        <v>691</v>
      </c>
    </row>
    <row r="59">
      <c r="A59" s="66" t="s">
        <v>580</v>
      </c>
      <c r="B59" s="66" t="s">
        <v>581</v>
      </c>
      <c r="C59" s="66" t="s">
        <v>575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2" t="s">
        <v>708</v>
      </c>
      <c r="S59" s="2" t="s">
        <v>691</v>
      </c>
    </row>
    <row r="60">
      <c r="A60" s="66" t="s">
        <v>583</v>
      </c>
      <c r="B60" s="66" t="s">
        <v>584</v>
      </c>
      <c r="C60" s="66" t="s">
        <v>575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2" t="s">
        <v>708</v>
      </c>
      <c r="S60" s="2" t="s">
        <v>691</v>
      </c>
    </row>
    <row r="61">
      <c r="A61" s="66" t="s">
        <v>592</v>
      </c>
      <c r="B61" s="66" t="s">
        <v>593</v>
      </c>
      <c r="C61" s="66" t="s">
        <v>575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2" t="s">
        <v>708</v>
      </c>
      <c r="S61" s="2" t="s">
        <v>691</v>
      </c>
    </row>
    <row r="62">
      <c r="A62" s="66" t="s">
        <v>597</v>
      </c>
      <c r="B62" s="66" t="s">
        <v>598</v>
      </c>
      <c r="C62" s="66" t="s">
        <v>575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2" t="s">
        <v>708</v>
      </c>
      <c r="S62" s="2" t="s">
        <v>691</v>
      </c>
    </row>
    <row r="63">
      <c r="A63" s="66" t="s">
        <v>602</v>
      </c>
      <c r="B63" s="66" t="s">
        <v>603</v>
      </c>
      <c r="C63" s="66" t="s">
        <v>575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2" t="s">
        <v>708</v>
      </c>
      <c r="S63" s="2" t="s">
        <v>691</v>
      </c>
    </row>
    <row r="64">
      <c r="A64" s="66" t="s">
        <v>607</v>
      </c>
      <c r="B64" s="66" t="s">
        <v>608</v>
      </c>
      <c r="C64" s="66" t="s">
        <v>575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2" t="s">
        <v>708</v>
      </c>
      <c r="S64" s="2" t="s">
        <v>691</v>
      </c>
    </row>
    <row r="65">
      <c r="A65" s="66" t="s">
        <v>612</v>
      </c>
      <c r="B65" s="66" t="s">
        <v>613</v>
      </c>
      <c r="C65" s="66" t="s">
        <v>575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2" t="s">
        <v>708</v>
      </c>
      <c r="S65" s="2" t="s">
        <v>691</v>
      </c>
    </row>
    <row r="66">
      <c r="A66" s="66" t="s">
        <v>617</v>
      </c>
      <c r="B66" s="66" t="s">
        <v>72</v>
      </c>
      <c r="C66" s="66" t="s">
        <v>575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2" t="s">
        <v>708</v>
      </c>
      <c r="S66" s="2" t="s">
        <v>691</v>
      </c>
    </row>
    <row r="67">
      <c r="A67" s="66" t="s">
        <v>619</v>
      </c>
      <c r="B67" s="66" t="s">
        <v>620</v>
      </c>
      <c r="C67" s="66" t="s">
        <v>575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2" t="s">
        <v>708</v>
      </c>
      <c r="S67" s="2" t="s">
        <v>691</v>
      </c>
    </row>
    <row r="68">
      <c r="A68" s="66" t="s">
        <v>624</v>
      </c>
      <c r="B68" s="66" t="s">
        <v>625</v>
      </c>
      <c r="C68" s="66" t="s">
        <v>575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" t="s">
        <v>708</v>
      </c>
      <c r="S68" s="2" t="s">
        <v>691</v>
      </c>
    </row>
    <row r="69">
      <c r="A69" s="66" t="s">
        <v>629</v>
      </c>
      <c r="B69" s="66" t="s">
        <v>630</v>
      </c>
      <c r="C69" s="66" t="s">
        <v>575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2" t="s">
        <v>708</v>
      </c>
      <c r="S69" s="2" t="s">
        <v>691</v>
      </c>
    </row>
    <row r="70">
      <c r="A70" s="66" t="s">
        <v>633</v>
      </c>
      <c r="B70" s="66" t="s">
        <v>634</v>
      </c>
      <c r="C70" s="66" t="s">
        <v>575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2" t="s">
        <v>708</v>
      </c>
      <c r="S70" s="2" t="s">
        <v>691</v>
      </c>
    </row>
    <row r="71">
      <c r="A71" s="66" t="s">
        <v>637</v>
      </c>
      <c r="B71" s="66" t="s">
        <v>638</v>
      </c>
      <c r="C71" s="66" t="s">
        <v>575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2" t="s">
        <v>708</v>
      </c>
      <c r="S71" s="2" t="s">
        <v>691</v>
      </c>
    </row>
    <row r="72">
      <c r="A72" s="66" t="s">
        <v>640</v>
      </c>
      <c r="B72" s="66" t="s">
        <v>641</v>
      </c>
      <c r="C72" s="66" t="s">
        <v>575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2" t="s">
        <v>708</v>
      </c>
      <c r="S72" s="2" t="s">
        <v>691</v>
      </c>
    </row>
    <row r="73">
      <c r="A73" s="66" t="s">
        <v>644</v>
      </c>
      <c r="B73" s="66" t="s">
        <v>290</v>
      </c>
      <c r="C73" s="66" t="s">
        <v>575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2" t="s">
        <v>708</v>
      </c>
      <c r="S73" s="2" t="s">
        <v>691</v>
      </c>
    </row>
    <row r="74">
      <c r="A74" s="66" t="s">
        <v>645</v>
      </c>
      <c r="B74" s="66" t="s">
        <v>646</v>
      </c>
      <c r="C74" s="66" t="s">
        <v>575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2" t="s">
        <v>708</v>
      </c>
      <c r="S74" s="2" t="s">
        <v>691</v>
      </c>
    </row>
    <row r="75">
      <c r="A75" s="74" t="s">
        <v>649</v>
      </c>
      <c r="B75" s="74" t="s">
        <v>650</v>
      </c>
      <c r="C75" s="74" t="s">
        <v>254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2" t="s">
        <v>708</v>
      </c>
      <c r="S75" s="2" t="s">
        <v>691</v>
      </c>
    </row>
    <row r="76">
      <c r="A76" s="74" t="s">
        <v>652</v>
      </c>
      <c r="B76" s="74" t="s">
        <v>653</v>
      </c>
      <c r="C76" s="74" t="s">
        <v>254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2" t="s">
        <v>708</v>
      </c>
      <c r="S76" s="2" t="s">
        <v>691</v>
      </c>
    </row>
    <row r="77">
      <c r="A77" s="74" t="s">
        <v>655</v>
      </c>
      <c r="B77" s="74" t="s">
        <v>656</v>
      </c>
      <c r="C77" s="74" t="s">
        <v>28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2" t="s">
        <v>708</v>
      </c>
      <c r="S77" s="2" t="s">
        <v>691</v>
      </c>
    </row>
    <row r="78">
      <c r="A78" s="74" t="s">
        <v>657</v>
      </c>
      <c r="B78" s="74" t="s">
        <v>658</v>
      </c>
      <c r="C78" s="74" t="s">
        <v>206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2" t="s">
        <v>708</v>
      </c>
      <c r="S78" s="2" t="s">
        <v>691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8.5" customHeight="1">
      <c r="A1" s="1" t="s">
        <v>684</v>
      </c>
      <c r="B1" s="1" t="s">
        <v>687</v>
      </c>
    </row>
    <row r="2">
      <c r="A2" s="2" t="s">
        <v>688</v>
      </c>
      <c r="B2" s="73" t="s">
        <v>689</v>
      </c>
    </row>
    <row r="3">
      <c r="A3" s="2" t="s">
        <v>692</v>
      </c>
      <c r="B3" s="73" t="s">
        <v>693</v>
      </c>
    </row>
    <row r="4">
      <c r="A4" s="2" t="s">
        <v>694</v>
      </c>
      <c r="B4" s="2" t="s">
        <v>695</v>
      </c>
    </row>
    <row r="5">
      <c r="A5" s="2" t="s">
        <v>696</v>
      </c>
      <c r="B5" s="2" t="s">
        <v>697</v>
      </c>
    </row>
    <row r="6">
      <c r="A6" s="2" t="s">
        <v>698</v>
      </c>
      <c r="B6" s="2" t="s">
        <v>699</v>
      </c>
    </row>
    <row r="7">
      <c r="A7" s="2" t="s">
        <v>700</v>
      </c>
      <c r="B7" s="2" t="s">
        <v>701</v>
      </c>
    </row>
    <row r="8">
      <c r="A8" s="2" t="s">
        <v>702</v>
      </c>
      <c r="B8" s="2" t="s">
        <v>703</v>
      </c>
    </row>
    <row r="9">
      <c r="A9" s="2" t="s">
        <v>704</v>
      </c>
      <c r="B9" s="2" t="s">
        <v>705</v>
      </c>
    </row>
    <row r="10">
      <c r="A10" s="2" t="s">
        <v>706</v>
      </c>
      <c r="B10" s="2" t="s">
        <v>707</v>
      </c>
    </row>
  </sheetData>
  <hyperlinks>
    <hyperlink r:id="rId1" ref="B2"/>
    <hyperlink r:id="rId2" ref="B3"/>
  </hyperlinks>
  <drawing r:id="rId3"/>
</worksheet>
</file>